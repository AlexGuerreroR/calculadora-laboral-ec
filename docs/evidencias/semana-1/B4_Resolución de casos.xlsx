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genieriaSoftware\UniAndes\Titulación\outputs\01a1523f-a3\"/>
    </mc:Choice>
  </mc:AlternateContent>
  <xr:revisionPtr revIDLastSave="0" documentId="13_ncr:1_{51443547-8115-480B-9D90-5E15AB2ED3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 " sheetId="1" r:id="rId1"/>
    <sheet name="Calculos y fu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G32" i="2" s="1"/>
  <c r="F31" i="2"/>
  <c r="G31" i="2" s="1"/>
  <c r="F30" i="2"/>
  <c r="G30" i="2" s="1"/>
  <c r="F25" i="2"/>
  <c r="G25" i="2" s="1"/>
  <c r="C24" i="2"/>
  <c r="F24" i="2" s="1"/>
  <c r="G24" i="2" s="1"/>
  <c r="G23" i="2"/>
  <c r="F23" i="2"/>
  <c r="F22" i="2"/>
  <c r="G22" i="2" s="1"/>
  <c r="F21" i="2"/>
  <c r="G21" i="2" s="1"/>
  <c r="C13" i="1" s="1"/>
  <c r="C149" i="2" s="1"/>
  <c r="G20" i="2"/>
  <c r="F20" i="2"/>
  <c r="C19" i="2"/>
  <c r="F19" i="2" s="1"/>
  <c r="G19" i="2" s="1"/>
  <c r="F18" i="2"/>
  <c r="G18" i="2" s="1"/>
  <c r="F17" i="2"/>
  <c r="G17" i="2" s="1"/>
  <c r="C12" i="1" s="1"/>
  <c r="C137" i="2" s="1"/>
  <c r="F16" i="2"/>
  <c r="G16" i="2" s="1"/>
  <c r="C11" i="1" s="1"/>
  <c r="C126" i="2" s="1"/>
  <c r="G15" i="2"/>
  <c r="F15" i="2"/>
  <c r="F14" i="2"/>
  <c r="G14" i="2" s="1"/>
  <c r="C10" i="1" s="1"/>
  <c r="C116" i="2" s="1"/>
  <c r="F13" i="2"/>
  <c r="G13" i="2" s="1"/>
  <c r="C9" i="1" s="1"/>
  <c r="C105" i="2" s="1"/>
  <c r="C12" i="2"/>
  <c r="F12" i="2" s="1"/>
  <c r="G12" i="2" s="1"/>
  <c r="C8" i="1" s="1"/>
  <c r="C96" i="2" s="1"/>
  <c r="C11" i="2"/>
  <c r="F11" i="2" s="1"/>
  <c r="G11" i="2" s="1"/>
  <c r="C7" i="1" s="1"/>
  <c r="C88" i="2" s="1"/>
  <c r="G10" i="2"/>
  <c r="C6" i="1" s="1"/>
  <c r="C80" i="2" s="1"/>
  <c r="F10" i="2"/>
  <c r="F9" i="2"/>
  <c r="G9" i="2" s="1"/>
  <c r="C5" i="1" s="1"/>
  <c r="C70" i="2" s="1"/>
  <c r="F8" i="2"/>
  <c r="G8" i="2" s="1"/>
  <c r="C4" i="1" s="1"/>
  <c r="C61" i="2" s="1"/>
  <c r="D10" i="1"/>
  <c r="D9" i="1"/>
</calcChain>
</file>

<file path=xl/sharedStrings.xml><?xml version="1.0" encoding="utf-8"?>
<sst xmlns="http://schemas.openxmlformats.org/spreadsheetml/2006/main" count="263" uniqueCount="203">
  <si>
    <t>Caso</t>
  </si>
  <si>
    <t>Concepto</t>
  </si>
  <si>
    <t>Resultado USD</t>
  </si>
  <si>
    <t>Días vacaciones</t>
  </si>
  <si>
    <t>Base del resultado</t>
  </si>
  <si>
    <t>Revisión</t>
  </si>
  <si>
    <t>Observación</t>
  </si>
  <si>
    <t>C01</t>
  </si>
  <si>
    <t>Décimo tercero completo</t>
  </si>
  <si>
    <t>12 meses de USD 600</t>
  </si>
  <si>
    <t>Período 01-dic-2025 a 30-nov-2026.</t>
  </si>
  <si>
    <t>C02</t>
  </si>
  <si>
    <t>Décimo tercero proporcional</t>
  </si>
  <si>
    <t>6 meses de USD 500</t>
  </si>
  <si>
    <t>Ingreso 01-jun-2026; corte 30-nov-2026.</t>
  </si>
  <si>
    <t>C03</t>
  </si>
  <si>
    <t>Décimo tercero variable</t>
  </si>
  <si>
    <t>9 meses de USD 700 y 3 de USD 850</t>
  </si>
  <si>
    <t>Mismo período completo de C01.</t>
  </si>
  <si>
    <t>C04</t>
  </si>
  <si>
    <t>Décimo cuarto Sierra</t>
  </si>
  <si>
    <t>Período completo, SBU 2026</t>
  </si>
  <si>
    <t>01-ago-2025 a 31-jul-2026.</t>
  </si>
  <si>
    <t>C05</t>
  </si>
  <si>
    <t>Décimo cuarto Costa</t>
  </si>
  <si>
    <t>6 meses, SBU 2026</t>
  </si>
  <si>
    <t>Ingreso 01-sep-2025; corte 28-feb-2026.</t>
  </si>
  <si>
    <t>C06</t>
  </si>
  <si>
    <t>Vacaciones un año</t>
  </si>
  <si>
    <t>USD 600; 15 días</t>
  </si>
  <si>
    <t>Ingreso 01-oct-2025; consulta 01-oct-2026.</t>
  </si>
  <si>
    <t>C07</t>
  </si>
  <si>
    <t>Vacaciones con antigüedad</t>
  </si>
  <si>
    <t>USD 900; 7 años cumplidos</t>
  </si>
  <si>
    <t>C08</t>
  </si>
  <si>
    <t>Horas suplementarias y extraordinarias</t>
  </si>
  <si>
    <t>USD 800; 10 h al 50% y 4 h al 100%</t>
  </si>
  <si>
    <t>Total de rubros redondeados; valor de hora sin redondeo intermedio.</t>
  </si>
  <si>
    <t>C09</t>
  </si>
  <si>
    <t>Renuncia con desahucio</t>
  </si>
  <si>
    <t>USD 700; 01-jun-2024 a 30-sep-2026</t>
  </si>
  <si>
    <t>C10</t>
  </si>
  <si>
    <t>Despido intempestivo</t>
  </si>
  <si>
    <t>USD 1.000; 01-ago-2020 a 31-ago-2026</t>
  </si>
  <si>
    <t>Cálculos reproducibles y fuentes</t>
  </si>
  <si>
    <t>Parámetro</t>
  </si>
  <si>
    <t>Valor</t>
  </si>
  <si>
    <t>Unidad</t>
  </si>
  <si>
    <t>Fuente</t>
  </si>
  <si>
    <t>SBU 2026</t>
  </si>
  <si>
    <t>USD</t>
  </si>
  <si>
    <t>S2</t>
  </si>
  <si>
    <t>Mes laboral</t>
  </si>
  <si>
    <t>días</t>
  </si>
  <si>
    <t>S3, disposición general quinta</t>
  </si>
  <si>
    <t>Año laboral</t>
  </si>
  <si>
    <t>Rubro</t>
  </si>
  <si>
    <t>Base USD</t>
  </si>
  <si>
    <t>Cantidad</t>
  </si>
  <si>
    <t>Unidad / divisor</t>
  </si>
  <si>
    <t>Sin redondear USD</t>
  </si>
  <si>
    <t>Final USD</t>
  </si>
  <si>
    <t>Procedimiento / fuente</t>
  </si>
  <si>
    <t>Décimo tercero</t>
  </si>
  <si>
    <t>S1 art. 111; suma de remuneraciones / 12.</t>
  </si>
  <si>
    <t>S1 art. 111; junio a noviembre: 6 meses.</t>
  </si>
  <si>
    <t>C03: segundo tramo</t>
  </si>
  <si>
    <t>S1 art. 111; (700 × 9 + 850 × 3) / 12.</t>
  </si>
  <si>
    <t>S1 art. 113; S2; S3 arts. 9 y 10.</t>
  </si>
  <si>
    <t>S1 art. 113; S2: SBU de pago 2026; septiembre a febrero.</t>
  </si>
  <si>
    <t>Vacaciones base</t>
  </si>
  <si>
    <t>S1 arts. 69 y 71. Equivalente sueldo × 12 / 24, sin variables.</t>
  </si>
  <si>
    <t>Vacaciones base y antigüedad</t>
  </si>
  <si>
    <t>S1 arts. 69–71. Base 450 + 2 × (900/30) = 510; revisar valoración adicional.</t>
  </si>
  <si>
    <t>Recargo</t>
  </si>
  <si>
    <t>Horas suplementarias</t>
  </si>
  <si>
    <t>S1 art. 55; S5 art. 24. Recargo adicional al valor hora.</t>
  </si>
  <si>
    <t>Horas extraordinarias</t>
  </si>
  <si>
    <t>Bonificación por desahucio</t>
  </si>
  <si>
    <t>S1 art. 185: criterio de años completos; fracción no redondeada como despido. Revisar.</t>
  </si>
  <si>
    <t>S1 art. 111; dic-2025 a sep-2026: 10 meses.</t>
  </si>
  <si>
    <t>S1 art. 113; S2; agosto y septiembre 2026.</t>
  </si>
  <si>
    <t>Vacaciones proporcionales</t>
  </si>
  <si>
    <t>S1 art. 71; junio a septiembre: 4 × 30 días; sueldo × días / 720.</t>
  </si>
  <si>
    <t>Indemnización por despido</t>
  </si>
  <si>
    <t>S1 art. 188: 6 años + fracción se cuentan como 7; tope 25.</t>
  </si>
  <si>
    <t>S1 arts. 185 y 188; 6 años completos, criterio a contrastar.</t>
  </si>
  <si>
    <t>S1 art. 111; diciembre 2025 a agosto 2026: 9 meses.</t>
  </si>
  <si>
    <t>S1 art. 113; S2; agosto 2026: un mes.</t>
  </si>
  <si>
    <t>Vacaciones proporcionales sin adicionales</t>
  </si>
  <si>
    <t>S1 art. 71; supuesto recibido: solo agosto, sin adicionales. Revisar contra art. 69.</t>
  </si>
  <si>
    <t>Sensibilidades para revisión — no incluidas en los totales principales</t>
  </si>
  <si>
    <t>Alternativa</t>
  </si>
  <si>
    <t>Divisor / tasa</t>
  </si>
  <si>
    <t>Motivo de revisión</t>
  </si>
  <si>
    <t>Desahucio proporcional hipotético</t>
  </si>
  <si>
    <t>Solo contraste: no afirmar que art. 185 exige proporcionalidad sin validación oficial.</t>
  </si>
  <si>
    <t>Vacaciones con 1 día anual adicional</t>
  </si>
  <si>
    <t>Ilustración: 16 días anuales con 6 años cumplidos; revisar derecho y tratamiento proporcional.</t>
  </si>
  <si>
    <t>C07: 7 años cumplidos al 01-mar-2026, 2 días adicionales. C09: 2 años y 4 meses. C10: 6 años y 1 mes. Meses expresados en base comercial de 30 días, según condiciones de los ejercicios.</t>
  </si>
  <si>
    <t>Fuentes consultadas el 19-oct-2026</t>
  </si>
  <si>
    <t>S1</t>
  </si>
  <si>
    <t>Código del Trabajo — Arts. 55, 69–71, 95, 111, 113, 184–185 y 188</t>
  </si>
  <si>
    <t>https://portal.compraspublicas.gob.ec/sercop/wp-content/uploads/2026/01/CO%CC%81DIGO-DEL-TRABAJO.pdf</t>
  </si>
  <si>
    <t>MDT-2025-195 — Artículo único: SBU 2026 = USD 482</t>
  </si>
  <si>
    <t>https://www.trabajo.gob.ec/wp-content/uploads/downloads/2026/01/ACUERDO-MINISTERIAL-MDT-2025-195.pdf</t>
  </si>
  <si>
    <t>S3</t>
  </si>
  <si>
    <t>MDT-2023-140 — Arts. 9–10: períodos; disposición general quinta: base comercial</t>
  </si>
  <si>
    <t>https://www.trabajo.gob.ec/wp-content/uploads/downloads/2024/01/MDT-2023-140-AM-Obligaciones-empleador-y-procedimientos-de-inspeccion-14-11-23-signed.pdf</t>
  </si>
  <si>
    <t>S4</t>
  </si>
  <si>
    <t>MDT-2025-053 — Reforma al MDT-2023-140; no modifica arts. 9 y 10</t>
  </si>
  <si>
    <t>https://www.trabajo.gob.ec/wp-content/uploads/2025/06/ACUERDO-MINISTERIAL-MDT-2025-053.pdf</t>
  </si>
  <si>
    <t>S5</t>
  </si>
  <si>
    <t>Resolución INEC 021-DIREJ-DIJU-NI-2026 — Art. 24: referencia institucional de divisor 240 bajo Código del Trabajo</t>
  </si>
  <si>
    <t>https://www.ecuadorencifras.gob.ec/documentos/web-inec/Resoluciones/2026/direj/resolucion_021-direj-diju-ni-2026.pdf</t>
  </si>
  <si>
    <t>Revisado por contador</t>
  </si>
  <si>
    <t>Desarrollo paso a paso de los diez casos</t>
  </si>
  <si>
    <t>Operaciones correspondientes a los datos originales del ejercicio. Las fórmulas numéricas de las filas 8–25 permanecen activas; si se cambian datos, actualizar también esta explicación escrita.</t>
  </si>
  <si>
    <t>C01 · Décimo tercero completo</t>
  </si>
  <si>
    <t>Datos: USD 600 mensuales; 01-dic-2025 a 30-nov-2026; 12 meses completos.</t>
  </si>
  <si>
    <t>Fórmula: décimo tercero = suma de remuneraciones del período / 12.</t>
  </si>
  <si>
    <t>Paso 1. Total percibido: USD 600 × 12 meses = USD 7.200.</t>
  </si>
  <si>
    <t>Paso 2. Beneficio: USD 7.200 / 12 = USD 600,00.</t>
  </si>
  <si>
    <t>Resultado final (USD)</t>
  </si>
  <si>
    <t>Fuente S1, arts. 95 y 111. Sin ingresos adicionales en el enunciado.</t>
  </si>
  <si>
    <t>C02 · Décimo tercero proporcional</t>
  </si>
  <si>
    <t>Datos: USD 500 mensuales; ingreso 01-jun-2026; corte 30-nov-2026.</t>
  </si>
  <si>
    <t>Fórmula: décimo tercero = remuneraciones efectivamente percibidas / 12.</t>
  </si>
  <si>
    <t>Paso 1. Meses completos: junio, julio, agosto, septiembre, octubre y noviembre = 6.</t>
  </si>
  <si>
    <t>Paso 2. Total percibido: USD 500 × 6 = USD 3.000.</t>
  </si>
  <si>
    <t>Paso 3. Beneficio: USD 3.000 / 12 = USD 250,00.</t>
  </si>
  <si>
    <t>Fuente S1, arts. 95 y 111. El divisor sigue siendo 12 aunque el período trabajado sea parcial.</t>
  </si>
  <si>
    <t>C03 · Décimo tercero con remuneración variable</t>
  </si>
  <si>
    <t>Datos: período 01-dic-2025 a 30-nov-2026; 9 meses de USD 700 y 3 de USD 850.</t>
  </si>
  <si>
    <t>Fórmula: décimo tercero = (remuneración tramo 1 + remuneración tramo 2) / 12.</t>
  </si>
  <si>
    <t>Paso 1. Primer tramo: USD 700 × 9 = USD 6.300.</t>
  </si>
  <si>
    <t>Paso 2. Segundo tramo: USD 850 × 3 = USD 2.550.</t>
  </si>
  <si>
    <t>Paso 3. Total percibido: USD 6.300 + USD 2.550 = USD 8.850.</t>
  </si>
  <si>
    <t>Paso 4. Beneficio: USD 8.850 / 12 = USD 737,50.</t>
  </si>
  <si>
    <t>Fuente S1, arts. 95 y 111. Se suman los ingresos; no se usa solo el último sueldo.</t>
  </si>
  <si>
    <t>C04 · Décimo cuarto Sierra, período completo</t>
  </si>
  <si>
    <t>Datos: Sierra; 01-ago-2025 a 31-jul-2026; SBU de referencia 2026: USD 482.</t>
  </si>
  <si>
    <t>Fórmula: décimo cuarto = SBU × meses trabajados / 12.</t>
  </si>
  <si>
    <t>Paso 1. Período trabajado completo = 12 meses.</t>
  </si>
  <si>
    <t>Paso 2. Beneficio: USD 482 × 12 / 12 = USD 482,00.</t>
  </si>
  <si>
    <t>Fuentes S1 art. 113, S2 artículo único y S3 arts. 9–10. Modalidad acumulada.</t>
  </si>
  <si>
    <t>C05 · Décimo cuarto Costa, período parcial</t>
  </si>
  <si>
    <t>Datos: Costa; ingreso 01-sep-2025; corte 28-feb-2026; SBU de referencia 2026: USD 482.</t>
  </si>
  <si>
    <t>Fórmula: décimo cuarto proporcional = SBU × meses trabajados / 12.</t>
  </si>
  <si>
    <t>Paso 1. Septiembre a febrero = 6 meses completos.</t>
  </si>
  <si>
    <t>Paso 2. Beneficio: USD 482 × 6 / 12 = USD 241,00.</t>
  </si>
  <si>
    <t>Fuentes S1 art. 113, S2 y S3 arts. 9–10. Se conserva SBU 2026 para el pago del ejercicio.</t>
  </si>
  <si>
    <t>C06 · Vacaciones por un año</t>
  </si>
  <si>
    <t>Datos: ingreso 01-oct-2025; consulta 01-oct-2026; USD 600 mensuales; un año completo.</t>
  </si>
  <si>
    <t>Fórmula: vacaciones base = remuneración anual / 24; días base = 15.</t>
  </si>
  <si>
    <t>Paso 1. Remuneración anual: USD 600 × 12 = USD 7.200.</t>
  </si>
  <si>
    <t>Paso 2. Valor: USD 7.200 / 24 = USD 300,00.</t>
  </si>
  <si>
    <t>Paso 3. Días de vacaciones: 15; sin días adicionales por antigüedad.</t>
  </si>
  <si>
    <t>Fuente S1, arts. 69 y 71. Fecha de consulta al aniversario: no se agrega un día al año completo.</t>
  </si>
  <si>
    <t>C07 · Vacaciones con antigüedad</t>
  </si>
  <si>
    <t>Datos: ingreso 01-mar-2019; consulta 01-mar-2026; USD 900 mensuales; 7 años cumplidos.</t>
  </si>
  <si>
    <t>Fórmula utilizada: valor = (sueldo × 12 / 24) + (días adicionales × sueldo / 30).</t>
  </si>
  <si>
    <t>Paso 1. Días adicionales: 7 años − 5 años = 2 días.</t>
  </si>
  <si>
    <t>Paso 2. Total de días: 15 base + 2 adicionales = 17 días.</t>
  </si>
  <si>
    <t>Paso 3. Valor base: USD 900 × 12 / 24 = USD 450,00.</t>
  </si>
  <si>
    <t>Paso 4. Valor adicional: 2 × USD 900 / 30 = USD 60,00.</t>
  </si>
  <si>
    <t>Paso 5. Total: USD 450,00 + USD 60,00 = USD 510,00.</t>
  </si>
  <si>
    <t>Fuentes S1, arts. 69–71. Criterio de valoración adicional conservado; revisión con contador informada por Alexander.</t>
  </si>
  <si>
    <t>C08 · Horas suplementarias y extraordinarias</t>
  </si>
  <si>
    <t>Datos: USD 800 mensuales; 10 horas suplementarias y 4 extraordinarias; divisor 240.</t>
  </si>
  <si>
    <t>Fórmulas: hora base = sueldo / 240; valor adicional = hora base × horas × (1 + recargo).</t>
  </si>
  <si>
    <t>Paso 1. Hora base: USD 800 / 240 = USD 3,333333…; conservar decimales.</t>
  </si>
  <si>
    <t>Paso 2. Suplementarias: (800 / 240) × 10 × 1,50 = USD 50,00.</t>
  </si>
  <si>
    <t>Paso 3. Extraordinarias: (800 / 240) × 4 × 2,00 = USD 26,666666…; redondeado USD 26,67.</t>
  </si>
  <si>
    <t>Paso 4. Total: USD 50,00 + USD 26,67 = USD 76,67.</t>
  </si>
  <si>
    <t>Fuentes S1 art. 55 y S5 art. 24. Recargos del ejercicio: 50 % y 100 %.</t>
  </si>
  <si>
    <t>C09 · Renuncia con desahucio</t>
  </si>
  <si>
    <t>Datos: 01-jun-2024 a 30-sep-2026; USD 700 mensuales; 2 años completos y 4 meses.</t>
  </si>
  <si>
    <t>Fórmulas: desahucio = 25 % × sueldo × años completos; décimos = base × meses / 12; vacaciones = sueldo × meses / 24.</t>
  </si>
  <si>
    <t>Paso 1. Desahucio: 0,25 × USD 700 × 2 = USD 350,00. Se conserva el criterio de años completos.</t>
  </si>
  <si>
    <t>Paso 2. Décimo tercero: USD 700 × 10 meses (dic–sep) / 12 = USD 583,333333…; redondeado USD 583,33.</t>
  </si>
  <si>
    <t>Paso 3. Décimo cuarto Sierra: USD 482 × 2 meses (ago–sep) / 12 = USD 80,333333…; redondeado USD 80,33.</t>
  </si>
  <si>
    <t>Paso 4. Vacaciones: USD 700 × 4 meses (jun–sep) / 24 = USD 116,666666…; redondeado USD 116,67.</t>
  </si>
  <si>
    <t>Paso 5. Total: USD 350,00 + 583,33 + 80,33 + 116,67 = USD 1.130,33.</t>
  </si>
  <si>
    <t>Fuentes S1, arts. 69, 71, 111, 113, 184–185; S2 y S3. Sueldo pagado y períodos anteriores gozados/pagados.</t>
  </si>
  <si>
    <t>C10 · Despido intempestivo</t>
  </si>
  <si>
    <t>Datos: 01-ago-2020 a 31-ago-2026; USD 1.000 mensuales; 6 años completos y 1 mes.</t>
  </si>
  <si>
    <t>Fórmulas: despido = sueldo × años indemnizables (tope 25); desahucio = 25 % × sueldo × años completos; proporcionales según cada período.</t>
  </si>
  <si>
    <t>Paso 1. Despido: 6 años + fracción = 7 años indemnizables; USD 1.000 × 7 = USD 7.000,00.</t>
  </si>
  <si>
    <t>Paso 2. Desahucio: 0,25 × USD 1.000 × 6 años completos = USD 1.500,00.</t>
  </si>
  <si>
    <t>Paso 3. Décimo tercero: USD 1.000 × 9 meses (dic–ago) / 12 = USD 750,00.</t>
  </si>
  <si>
    <t>Paso 4. Décimo cuarto Sierra: USD 482 × 1 mes (ago) / 12 = USD 40,166666…; redondeado USD 40,17.</t>
  </si>
  <si>
    <t>Paso 5. Vacaciones base: USD 1.000 × 1 mes / 24 = USD 41,666666…; redondeado USD 41,67.</t>
  </si>
  <si>
    <t>Paso 6. Total: USD 7.000,00 + 1.500,00 + 750,00 + 40,17 + 41,67 = USD 9.331,84.</t>
  </si>
  <si>
    <r>
      <rPr>
        <b/>
        <sz val="11"/>
        <rFont val="Arial"/>
        <family val="2"/>
      </rPr>
      <t>Condiciones de los casos:</t>
    </r>
    <r>
      <rPr>
        <sz val="11"/>
        <rFont val="Arial"/>
      </rPr>
      <t xml:space="preserve"> en C09 y C10, el sueldo del último mes y los beneficios de períodos anteriores ya fueron pagados. Se calculan únicamente los valores pendientes del período actual.</t>
    </r>
  </si>
  <si>
    <r>
      <rPr>
        <b/>
        <sz val="11"/>
        <rFont val="Arial"/>
        <family val="2"/>
      </rPr>
      <t>Criterio de tiempo:</t>
    </r>
    <r>
      <rPr>
        <sz val="11"/>
        <rFont val="Arial"/>
      </rPr>
      <t xml:space="preserve"> se utilizan meses de 30 días y años de 360 días. En C06 y C07, la fecha de consulta coincide con el aniversario laboral, por lo que no se agrega un día.</t>
    </r>
  </si>
  <si>
    <r>
      <rPr>
        <b/>
        <sz val="11"/>
        <rFont val="Arial"/>
        <family val="2"/>
      </rPr>
      <t>Vacaciones de C10:</t>
    </r>
    <r>
      <rPr>
        <sz val="11"/>
        <rFont val="Arial"/>
      </rPr>
      <t xml:space="preserve"> el resultado presentado considera únicamente las vacaciones proporcionales base, sin días adicionales por antigüedad.</t>
    </r>
  </si>
  <si>
    <r>
      <rPr>
        <b/>
        <sz val="11"/>
        <rFont val="Arial"/>
        <family val="2"/>
      </rPr>
      <t>Revisión:</t>
    </r>
    <r>
      <rPr>
        <sz val="11"/>
        <rFont val="Arial"/>
      </rPr>
      <t xml:space="preserve">  Los casos fueron revisados uno a uno por un contador. El desarrollo se encuentra al final de Calculos y fuentes.</t>
    </r>
  </si>
  <si>
    <t>Desahucio por 2 años completos. Criterio conservado.</t>
  </si>
  <si>
    <t>Se conserva el supuesto sin vacaciones adicionales y el resultado original; no generalizar a otros casos.</t>
  </si>
  <si>
    <t>17 días: 15 base + 2 adicionales.</t>
  </si>
  <si>
    <t xml:space="preserve">B4 · Diez casos laborales </t>
  </si>
  <si>
    <t>Fuentes S1, arts. 69, 71, 111, 113, 185 y 188; S2 y S3. Se conserva el supuesto sin vacaciones 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</si>
</sst>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0000"/>
  </numFmts>
  <fonts count="11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1"/>
      <color rgb="FF17324D"/>
      <name val="Arial"/>
    </font>
    <font>
      <b/>
      <sz val="11"/>
      <name val="Arial"/>
    </font>
    <font>
      <b/>
      <sz val="11"/>
      <name val="Carlito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17324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F2F2"/>
      </patternFill>
    </fill>
    <fill>
      <patternFill patternType="solid">
        <fgColor rgb="FFFFF1CC"/>
      </patternFill>
    </fill>
    <fill>
      <patternFill patternType="solid">
        <fgColor rgb="FF17324D"/>
      </patternFill>
    </fill>
    <fill>
      <patternFill patternType="solid">
        <fgColor rgb="FFFFFFFF"/>
      </patternFill>
    </fill>
    <fill>
      <patternFill patternType="solid">
        <fgColor rgb="FFE7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4" fontId="1" fillId="3" borderId="0" xfId="0" applyNumberFormat="1" applyFont="1" applyFill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/>
    </xf>
    <xf numFmtId="4" fontId="2" fillId="2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4" fontId="1" fillId="4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0" fontId="6" fillId="7" borderId="0" xfId="0" applyFont="1" applyFill="1"/>
    <xf numFmtId="0" fontId="4" fillId="6" borderId="0" xfId="0" applyFont="1" applyFill="1" applyAlignment="1">
      <alignment vertical="center" wrapText="1"/>
    </xf>
    <xf numFmtId="0" fontId="6" fillId="7" borderId="0" xfId="0" applyFont="1" applyFill="1"/>
    <xf numFmtId="164" fontId="6" fillId="7" borderId="0" xfId="0" applyNumberFormat="1" applyFont="1" applyFill="1"/>
    <xf numFmtId="0" fontId="3" fillId="5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4" fontId="2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10" fillId="6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</font>
      <fill>
        <patternFill>
          <bgColor rgb="FFFFF1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showGridLines="0" workbookViewId="0">
      <pane ySplit="3" topLeftCell="A11" activePane="bottomLeft" state="frozen"/>
      <selection pane="bottomLeft" activeCell="B14" sqref="B14"/>
    </sheetView>
  </sheetViews>
  <sheetFormatPr baseColWidth="10" defaultColWidth="8.796875" defaultRowHeight="13.8"/>
  <cols>
    <col min="1" max="1" width="9" customWidth="1"/>
    <col min="2" max="2" width="34" customWidth="1"/>
    <col min="3" max="4" width="17" customWidth="1"/>
    <col min="5" max="5" width="37" customWidth="1"/>
    <col min="6" max="6" width="23" customWidth="1"/>
    <col min="7" max="7" width="64" customWidth="1"/>
  </cols>
  <sheetData>
    <row r="1" spans="1:7" ht="27" customHeight="1">
      <c r="A1" s="28" t="s">
        <v>201</v>
      </c>
      <c r="B1" s="23"/>
      <c r="C1" s="23"/>
      <c r="D1" s="23"/>
      <c r="E1" s="23"/>
      <c r="F1" s="23"/>
      <c r="G1" s="23"/>
    </row>
    <row r="2" spans="1:7">
      <c r="A2" s="1"/>
      <c r="B2" s="1"/>
      <c r="C2" s="1"/>
      <c r="D2" s="1"/>
      <c r="E2" s="1"/>
      <c r="F2" s="1"/>
      <c r="G2" s="1"/>
    </row>
    <row r="3" spans="1:7" ht="36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 ht="64.05" customHeight="1">
      <c r="A4" s="2" t="s">
        <v>7</v>
      </c>
      <c r="B4" s="2" t="s">
        <v>8</v>
      </c>
      <c r="C4" s="3">
        <f>'Calculos y fuentes'!G8</f>
        <v>600</v>
      </c>
      <c r="D4" s="4"/>
      <c r="E4" s="2" t="s">
        <v>9</v>
      </c>
      <c r="F4" s="2" t="s">
        <v>115</v>
      </c>
      <c r="G4" s="2" t="s">
        <v>10</v>
      </c>
    </row>
    <row r="5" spans="1:7" ht="64.05" customHeight="1">
      <c r="A5" s="2" t="s">
        <v>11</v>
      </c>
      <c r="B5" s="2" t="s">
        <v>12</v>
      </c>
      <c r="C5" s="3">
        <f>'Calculos y fuentes'!G9</f>
        <v>250</v>
      </c>
      <c r="D5" s="4"/>
      <c r="E5" s="2" t="s">
        <v>13</v>
      </c>
      <c r="F5" s="2" t="s">
        <v>115</v>
      </c>
      <c r="G5" s="2" t="s">
        <v>14</v>
      </c>
    </row>
    <row r="6" spans="1:7" ht="64.05" customHeight="1">
      <c r="A6" s="2" t="s">
        <v>15</v>
      </c>
      <c r="B6" s="2" t="s">
        <v>16</v>
      </c>
      <c r="C6" s="3">
        <f>'Calculos y fuentes'!G10</f>
        <v>737.5</v>
      </c>
      <c r="D6" s="4"/>
      <c r="E6" s="2" t="s">
        <v>17</v>
      </c>
      <c r="F6" s="2" t="s">
        <v>115</v>
      </c>
      <c r="G6" s="2" t="s">
        <v>18</v>
      </c>
    </row>
    <row r="7" spans="1:7" ht="64.05" customHeight="1">
      <c r="A7" s="2" t="s">
        <v>19</v>
      </c>
      <c r="B7" s="2" t="s">
        <v>20</v>
      </c>
      <c r="C7" s="3">
        <f>'Calculos y fuentes'!G11</f>
        <v>482</v>
      </c>
      <c r="D7" s="4"/>
      <c r="E7" s="2" t="s">
        <v>21</v>
      </c>
      <c r="F7" s="2" t="s">
        <v>115</v>
      </c>
      <c r="G7" s="2" t="s">
        <v>22</v>
      </c>
    </row>
    <row r="8" spans="1:7" ht="64.05" customHeight="1">
      <c r="A8" s="2" t="s">
        <v>23</v>
      </c>
      <c r="B8" s="2" t="s">
        <v>24</v>
      </c>
      <c r="C8" s="3">
        <f>'Calculos y fuentes'!G12</f>
        <v>241</v>
      </c>
      <c r="D8" s="4"/>
      <c r="E8" s="2" t="s">
        <v>25</v>
      </c>
      <c r="F8" s="2" t="s">
        <v>115</v>
      </c>
      <c r="G8" s="2" t="s">
        <v>26</v>
      </c>
    </row>
    <row r="9" spans="1:7" ht="64.05" customHeight="1">
      <c r="A9" s="2" t="s">
        <v>27</v>
      </c>
      <c r="B9" s="2" t="s">
        <v>28</v>
      </c>
      <c r="C9" s="3">
        <f>'Calculos y fuentes'!G13</f>
        <v>300</v>
      </c>
      <c r="D9" s="4">
        <f>'Calculos y fuentes'!D13</f>
        <v>15</v>
      </c>
      <c r="E9" s="2" t="s">
        <v>29</v>
      </c>
      <c r="F9" s="2" t="s">
        <v>115</v>
      </c>
      <c r="G9" s="2" t="s">
        <v>30</v>
      </c>
    </row>
    <row r="10" spans="1:7" ht="64.05" customHeight="1">
      <c r="A10" s="2" t="s">
        <v>31</v>
      </c>
      <c r="B10" s="2" t="s">
        <v>32</v>
      </c>
      <c r="C10" s="3">
        <f>'Calculos y fuentes'!G14</f>
        <v>510</v>
      </c>
      <c r="D10" s="4">
        <f>'Calculos y fuentes'!D14</f>
        <v>17</v>
      </c>
      <c r="E10" s="2" t="s">
        <v>33</v>
      </c>
      <c r="F10" s="2" t="s">
        <v>115</v>
      </c>
      <c r="G10" s="27" t="s">
        <v>200</v>
      </c>
    </row>
    <row r="11" spans="1:7" ht="64.05" customHeight="1">
      <c r="A11" s="2" t="s">
        <v>34</v>
      </c>
      <c r="B11" s="2" t="s">
        <v>35</v>
      </c>
      <c r="C11" s="3">
        <f>SUM('Calculos y fuentes'!G15:G16)</f>
        <v>76.67</v>
      </c>
      <c r="D11" s="4"/>
      <c r="E11" s="2" t="s">
        <v>36</v>
      </c>
      <c r="F11" s="2" t="s">
        <v>115</v>
      </c>
      <c r="G11" s="2" t="s">
        <v>37</v>
      </c>
    </row>
    <row r="12" spans="1:7" ht="64.05" customHeight="1">
      <c r="A12" s="2" t="s">
        <v>38</v>
      </c>
      <c r="B12" s="2" t="s">
        <v>39</v>
      </c>
      <c r="C12" s="3">
        <f>SUM('Calculos y fuentes'!G17:G20)</f>
        <v>1130.3300000000002</v>
      </c>
      <c r="D12" s="4"/>
      <c r="E12" s="2" t="s">
        <v>40</v>
      </c>
      <c r="F12" s="2" t="s">
        <v>115</v>
      </c>
      <c r="G12" s="27" t="s">
        <v>198</v>
      </c>
    </row>
    <row r="13" spans="1:7" ht="64.05" customHeight="1">
      <c r="A13" s="2" t="s">
        <v>41</v>
      </c>
      <c r="B13" s="2" t="s">
        <v>42</v>
      </c>
      <c r="C13" s="3">
        <f>SUM('Calculos y fuentes'!G21:G25)</f>
        <v>9331.84</v>
      </c>
      <c r="D13" s="4"/>
      <c r="E13" s="2" t="s">
        <v>43</v>
      </c>
      <c r="F13" s="2" t="s">
        <v>115</v>
      </c>
      <c r="G13" s="27" t="s">
        <v>199</v>
      </c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 ht="27" customHeight="1">
      <c r="A16" s="23"/>
      <c r="B16" s="23"/>
      <c r="C16" s="23"/>
      <c r="D16" s="23"/>
      <c r="E16" s="23"/>
      <c r="F16" s="23"/>
      <c r="G16" s="23"/>
    </row>
    <row r="17" spans="1:7" ht="43.95" customHeight="1">
      <c r="A17" s="26" t="s">
        <v>194</v>
      </c>
      <c r="B17" s="24"/>
      <c r="C17" s="24"/>
      <c r="D17" s="24"/>
      <c r="E17" s="24"/>
      <c r="F17" s="24"/>
      <c r="G17" s="24"/>
    </row>
    <row r="18" spans="1:7" ht="43.95" customHeight="1">
      <c r="A18" s="26" t="s">
        <v>195</v>
      </c>
      <c r="B18" s="24"/>
      <c r="C18" s="24"/>
      <c r="D18" s="24"/>
      <c r="E18" s="24"/>
      <c r="F18" s="24"/>
      <c r="G18" s="24"/>
    </row>
    <row r="19" spans="1:7" ht="43.95" customHeight="1">
      <c r="A19" s="26" t="s">
        <v>196</v>
      </c>
      <c r="B19" s="24"/>
      <c r="C19" s="24"/>
      <c r="D19" s="24"/>
      <c r="E19" s="24"/>
      <c r="F19" s="24"/>
      <c r="G19" s="24"/>
    </row>
    <row r="20" spans="1:7" ht="55.05" customHeight="1">
      <c r="A20" s="26" t="s">
        <v>197</v>
      </c>
      <c r="B20" s="24"/>
      <c r="C20" s="24"/>
      <c r="D20" s="24"/>
      <c r="E20" s="24"/>
      <c r="F20" s="24"/>
      <c r="G20" s="24"/>
    </row>
    <row r="21" spans="1:7" ht="48" customHeight="1"/>
    <row r="22" spans="1:7">
      <c r="A22" s="24"/>
      <c r="B22" s="24"/>
      <c r="C22" s="24"/>
      <c r="D22" s="24"/>
      <c r="E22" s="24"/>
      <c r="F22" s="24"/>
      <c r="G22" s="24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</sheetData>
  <mergeCells count="7">
    <mergeCell ref="A18:G18"/>
    <mergeCell ref="A19:G19"/>
    <mergeCell ref="A20:G20"/>
    <mergeCell ref="A22:G22"/>
    <mergeCell ref="A1:G1"/>
    <mergeCell ref="A16:G16"/>
    <mergeCell ref="A17:G17"/>
  </mergeCells>
  <conditionalFormatting sqref="F4:F13">
    <cfRule type="containsText" dxfId="0" priority="1" operator="containsText" text="Revisar"/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"/>
  <sheetViews>
    <sheetView showGridLines="0" tabSelected="1" topLeftCell="B1" workbookViewId="0">
      <pane ySplit="7" topLeftCell="A8" activePane="bottomLeft" state="frozen"/>
      <selection pane="bottomLeft" activeCell="E153" sqref="E153"/>
    </sheetView>
  </sheetViews>
  <sheetFormatPr baseColWidth="10" defaultColWidth="8.796875" defaultRowHeight="13.8"/>
  <cols>
    <col min="1" max="1" width="12.69921875" customWidth="1"/>
    <col min="2" max="2" width="34" customWidth="1"/>
    <col min="3" max="4" width="17" customWidth="1"/>
    <col min="5" max="5" width="18.3984375" customWidth="1"/>
    <col min="6" max="6" width="17" customWidth="1"/>
    <col min="7" max="7" width="16" customWidth="1"/>
    <col min="8" max="8" width="64" customWidth="1"/>
  </cols>
  <sheetData>
    <row r="1" spans="1:11" ht="27" customHeight="1">
      <c r="A1" s="23" t="s">
        <v>44</v>
      </c>
      <c r="B1" s="23"/>
      <c r="C1" s="23"/>
      <c r="D1" s="23"/>
      <c r="E1" s="23"/>
      <c r="F1" s="23"/>
      <c r="G1" s="23"/>
      <c r="H1" s="23"/>
    </row>
    <row r="2" spans="1:11">
      <c r="A2" s="1"/>
      <c r="B2" s="1"/>
      <c r="C2" s="1"/>
      <c r="D2" s="1"/>
      <c r="E2" s="1"/>
      <c r="F2" s="1"/>
      <c r="G2" s="1"/>
      <c r="H2" s="1"/>
    </row>
    <row r="3" spans="1:11" ht="37.950000000000003" customHeight="1">
      <c r="A3" s="5" t="s">
        <v>45</v>
      </c>
      <c r="B3" s="5" t="s">
        <v>46</v>
      </c>
      <c r="C3" s="5" t="s">
        <v>47</v>
      </c>
      <c r="D3" s="5" t="s">
        <v>48</v>
      </c>
      <c r="E3" s="1"/>
      <c r="F3" s="1"/>
      <c r="G3" s="1"/>
      <c r="H3" s="1"/>
    </row>
    <row r="4" spans="1:11">
      <c r="A4" s="1" t="s">
        <v>49</v>
      </c>
      <c r="B4" s="1">
        <v>482</v>
      </c>
      <c r="C4" s="1" t="s">
        <v>50</v>
      </c>
      <c r="D4" s="1" t="s">
        <v>51</v>
      </c>
      <c r="E4" s="1"/>
      <c r="F4" s="24"/>
      <c r="G4" s="24"/>
      <c r="H4" s="24"/>
    </row>
    <row r="5" spans="1:11">
      <c r="A5" s="1" t="s">
        <v>52</v>
      </c>
      <c r="B5" s="1">
        <v>30</v>
      </c>
      <c r="C5" s="1" t="s">
        <v>53</v>
      </c>
      <c r="D5" s="1" t="s">
        <v>54</v>
      </c>
      <c r="E5" s="1"/>
      <c r="F5" s="24"/>
      <c r="G5" s="24"/>
      <c r="H5" s="24"/>
    </row>
    <row r="6" spans="1:11">
      <c r="A6" s="1" t="s">
        <v>55</v>
      </c>
      <c r="B6" s="1">
        <v>360</v>
      </c>
      <c r="C6" s="1" t="s">
        <v>53</v>
      </c>
      <c r="D6" s="1" t="s">
        <v>54</v>
      </c>
      <c r="E6" s="1"/>
      <c r="F6" s="24"/>
      <c r="G6" s="24"/>
      <c r="H6" s="24"/>
    </row>
    <row r="7" spans="1:11" ht="37.950000000000003" customHeight="1">
      <c r="A7" s="5" t="s">
        <v>0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  <c r="H7" s="5" t="s">
        <v>62</v>
      </c>
    </row>
    <row r="8" spans="1:11" ht="61.05" customHeight="1">
      <c r="A8" s="2" t="s">
        <v>7</v>
      </c>
      <c r="B8" s="2" t="s">
        <v>63</v>
      </c>
      <c r="C8" s="8">
        <v>600</v>
      </c>
      <c r="D8" s="8">
        <v>12</v>
      </c>
      <c r="E8" s="8">
        <v>12</v>
      </c>
      <c r="F8" s="12">
        <f>C8*D8/E8</f>
        <v>600</v>
      </c>
      <c r="G8" s="9">
        <f t="shared" ref="G8:G25" si="0">ROUND(F8,2)</f>
        <v>600</v>
      </c>
      <c r="H8" s="2" t="s">
        <v>64</v>
      </c>
    </row>
    <row r="9" spans="1:11" ht="61.05" customHeight="1">
      <c r="A9" s="2" t="s">
        <v>11</v>
      </c>
      <c r="B9" s="2" t="s">
        <v>63</v>
      </c>
      <c r="C9" s="8">
        <v>500</v>
      </c>
      <c r="D9" s="8">
        <v>6</v>
      </c>
      <c r="E9" s="8">
        <v>12</v>
      </c>
      <c r="F9" s="12">
        <f>C9*D9/E9</f>
        <v>250</v>
      </c>
      <c r="G9" s="9">
        <f t="shared" si="0"/>
        <v>250</v>
      </c>
      <c r="H9" s="2" t="s">
        <v>65</v>
      </c>
      <c r="J9" t="s">
        <v>66</v>
      </c>
    </row>
    <row r="10" spans="1:11" ht="61.05" customHeight="1">
      <c r="A10" s="2" t="s">
        <v>15</v>
      </c>
      <c r="B10" s="2" t="s">
        <v>16</v>
      </c>
      <c r="C10" s="8">
        <v>700</v>
      </c>
      <c r="D10" s="8">
        <v>9</v>
      </c>
      <c r="E10" s="8">
        <v>12</v>
      </c>
      <c r="F10" s="12">
        <f>(C10*D10+J10*K10)/E10</f>
        <v>737.5</v>
      </c>
      <c r="G10" s="9">
        <f t="shared" si="0"/>
        <v>737.5</v>
      </c>
      <c r="H10" s="2" t="s">
        <v>67</v>
      </c>
      <c r="J10" s="7">
        <v>850</v>
      </c>
      <c r="K10" s="7">
        <v>3</v>
      </c>
    </row>
    <row r="11" spans="1:11" ht="61.05" customHeight="1">
      <c r="A11" s="2" t="s">
        <v>19</v>
      </c>
      <c r="B11" s="2" t="s">
        <v>20</v>
      </c>
      <c r="C11" s="8">
        <f>$B$4</f>
        <v>482</v>
      </c>
      <c r="D11" s="8">
        <v>12</v>
      </c>
      <c r="E11" s="8">
        <v>12</v>
      </c>
      <c r="F11" s="12">
        <f>C11*D11/E11</f>
        <v>482</v>
      </c>
      <c r="G11" s="9">
        <f t="shared" si="0"/>
        <v>482</v>
      </c>
      <c r="H11" s="2" t="s">
        <v>68</v>
      </c>
    </row>
    <row r="12" spans="1:11" ht="61.05" customHeight="1">
      <c r="A12" s="2" t="s">
        <v>23</v>
      </c>
      <c r="B12" s="2" t="s">
        <v>24</v>
      </c>
      <c r="C12" s="8">
        <f>$B$4</f>
        <v>482</v>
      </c>
      <c r="D12" s="8">
        <v>6</v>
      </c>
      <c r="E12" s="8">
        <v>12</v>
      </c>
      <c r="F12" s="12">
        <f>C12*D12/E12</f>
        <v>241</v>
      </c>
      <c r="G12" s="9">
        <f t="shared" si="0"/>
        <v>241</v>
      </c>
      <c r="H12" s="2" t="s">
        <v>69</v>
      </c>
    </row>
    <row r="13" spans="1:11" ht="61.05" customHeight="1">
      <c r="A13" s="2" t="s">
        <v>27</v>
      </c>
      <c r="B13" s="2" t="s">
        <v>70</v>
      </c>
      <c r="C13" s="8">
        <v>600</v>
      </c>
      <c r="D13" s="8">
        <v>15</v>
      </c>
      <c r="E13" s="8">
        <v>30</v>
      </c>
      <c r="F13" s="12">
        <f>C13*D13/E13</f>
        <v>300</v>
      </c>
      <c r="G13" s="9">
        <f t="shared" si="0"/>
        <v>300</v>
      </c>
      <c r="H13" s="2" t="s">
        <v>71</v>
      </c>
    </row>
    <row r="14" spans="1:11" ht="61.05" customHeight="1">
      <c r="A14" s="2" t="s">
        <v>31</v>
      </c>
      <c r="B14" s="2" t="s">
        <v>72</v>
      </c>
      <c r="C14" s="8">
        <v>900</v>
      </c>
      <c r="D14" s="8">
        <v>17</v>
      </c>
      <c r="E14" s="8">
        <v>30</v>
      </c>
      <c r="F14" s="12">
        <f>C14*D14/E14</f>
        <v>510</v>
      </c>
      <c r="G14" s="9">
        <f t="shared" si="0"/>
        <v>510</v>
      </c>
      <c r="H14" s="2" t="s">
        <v>73</v>
      </c>
      <c r="J14" t="s">
        <v>74</v>
      </c>
    </row>
    <row r="15" spans="1:11" ht="61.05" customHeight="1">
      <c r="A15" s="2" t="s">
        <v>34</v>
      </c>
      <c r="B15" s="2" t="s">
        <v>75</v>
      </c>
      <c r="C15" s="8">
        <v>800</v>
      </c>
      <c r="D15" s="8">
        <v>10</v>
      </c>
      <c r="E15" s="8">
        <v>240</v>
      </c>
      <c r="F15" s="12">
        <f>C15/E15*D15*(1+J15)</f>
        <v>50</v>
      </c>
      <c r="G15" s="9">
        <f t="shared" si="0"/>
        <v>50</v>
      </c>
      <c r="H15" s="2" t="s">
        <v>76</v>
      </c>
      <c r="J15" s="7">
        <v>0.5</v>
      </c>
    </row>
    <row r="16" spans="1:11" ht="61.05" customHeight="1">
      <c r="A16" s="2" t="s">
        <v>34</v>
      </c>
      <c r="B16" s="2" t="s">
        <v>77</v>
      </c>
      <c r="C16" s="8">
        <v>800</v>
      </c>
      <c r="D16" s="8">
        <v>4</v>
      </c>
      <c r="E16" s="8">
        <v>240</v>
      </c>
      <c r="F16" s="12">
        <f>C16/E16*D16*(1+J16)</f>
        <v>26.666666666666668</v>
      </c>
      <c r="G16" s="9">
        <f t="shared" si="0"/>
        <v>26.67</v>
      </c>
      <c r="H16" s="2" t="s">
        <v>76</v>
      </c>
      <c r="J16" s="7">
        <v>1</v>
      </c>
    </row>
    <row r="17" spans="1:8" ht="61.05" customHeight="1">
      <c r="A17" s="2" t="s">
        <v>38</v>
      </c>
      <c r="B17" s="2" t="s">
        <v>78</v>
      </c>
      <c r="C17" s="8">
        <v>700</v>
      </c>
      <c r="D17" s="8">
        <v>2</v>
      </c>
      <c r="E17" s="8">
        <v>0.25</v>
      </c>
      <c r="F17" s="12">
        <f>C17*D17*E17</f>
        <v>350</v>
      </c>
      <c r="G17" s="9">
        <f t="shared" si="0"/>
        <v>350</v>
      </c>
      <c r="H17" s="2" t="s">
        <v>79</v>
      </c>
    </row>
    <row r="18" spans="1:8" ht="61.05" customHeight="1">
      <c r="A18" s="2" t="s">
        <v>38</v>
      </c>
      <c r="B18" s="2" t="s">
        <v>12</v>
      </c>
      <c r="C18" s="8">
        <v>700</v>
      </c>
      <c r="D18" s="8">
        <v>10</v>
      </c>
      <c r="E18" s="8">
        <v>12</v>
      </c>
      <c r="F18" s="12">
        <f>C18*D18/E18</f>
        <v>583.33333333333337</v>
      </c>
      <c r="G18" s="9">
        <f t="shared" si="0"/>
        <v>583.33000000000004</v>
      </c>
      <c r="H18" s="2" t="s">
        <v>80</v>
      </c>
    </row>
    <row r="19" spans="1:8" ht="61.05" customHeight="1">
      <c r="A19" s="2" t="s">
        <v>38</v>
      </c>
      <c r="B19" s="2" t="s">
        <v>20</v>
      </c>
      <c r="C19" s="8">
        <f>$B$4</f>
        <v>482</v>
      </c>
      <c r="D19" s="8">
        <v>2</v>
      </c>
      <c r="E19" s="8">
        <v>12</v>
      </c>
      <c r="F19" s="12">
        <f>C19*D19/E19</f>
        <v>80.333333333333329</v>
      </c>
      <c r="G19" s="9">
        <f t="shared" si="0"/>
        <v>80.33</v>
      </c>
      <c r="H19" s="2" t="s">
        <v>81</v>
      </c>
    </row>
    <row r="20" spans="1:8" ht="61.05" customHeight="1">
      <c r="A20" s="2" t="s">
        <v>38</v>
      </c>
      <c r="B20" s="2" t="s">
        <v>82</v>
      </c>
      <c r="C20" s="8">
        <v>700</v>
      </c>
      <c r="D20" s="8">
        <v>120</v>
      </c>
      <c r="E20" s="8">
        <v>720</v>
      </c>
      <c r="F20" s="12">
        <f>C20*D20/E20</f>
        <v>116.66666666666667</v>
      </c>
      <c r="G20" s="9">
        <f t="shared" si="0"/>
        <v>116.67</v>
      </c>
      <c r="H20" s="2" t="s">
        <v>83</v>
      </c>
    </row>
    <row r="21" spans="1:8" ht="61.05" customHeight="1">
      <c r="A21" s="2" t="s">
        <v>41</v>
      </c>
      <c r="B21" s="2" t="s">
        <v>84</v>
      </c>
      <c r="C21" s="8">
        <v>1000</v>
      </c>
      <c r="D21" s="8">
        <v>7</v>
      </c>
      <c r="E21" s="8">
        <v>25</v>
      </c>
      <c r="F21" s="12">
        <f>C21*MIN(D21,E21)</f>
        <v>7000</v>
      </c>
      <c r="G21" s="9">
        <f t="shared" si="0"/>
        <v>7000</v>
      </c>
      <c r="H21" s="2" t="s">
        <v>85</v>
      </c>
    </row>
    <row r="22" spans="1:8" ht="61.05" customHeight="1">
      <c r="A22" s="2" t="s">
        <v>41</v>
      </c>
      <c r="B22" s="2" t="s">
        <v>78</v>
      </c>
      <c r="C22" s="8">
        <v>1000</v>
      </c>
      <c r="D22" s="8">
        <v>6</v>
      </c>
      <c r="E22" s="8">
        <v>0.25</v>
      </c>
      <c r="F22" s="12">
        <f>C22*D22*E22</f>
        <v>1500</v>
      </c>
      <c r="G22" s="9">
        <f t="shared" si="0"/>
        <v>1500</v>
      </c>
      <c r="H22" s="2" t="s">
        <v>86</v>
      </c>
    </row>
    <row r="23" spans="1:8" ht="61.05" customHeight="1">
      <c r="A23" s="2" t="s">
        <v>41</v>
      </c>
      <c r="B23" s="2" t="s">
        <v>12</v>
      </c>
      <c r="C23" s="8">
        <v>1000</v>
      </c>
      <c r="D23" s="8">
        <v>9</v>
      </c>
      <c r="E23" s="8">
        <v>12</v>
      </c>
      <c r="F23" s="12">
        <f>C23*D23/E23</f>
        <v>750</v>
      </c>
      <c r="G23" s="9">
        <f t="shared" si="0"/>
        <v>750</v>
      </c>
      <c r="H23" s="2" t="s">
        <v>87</v>
      </c>
    </row>
    <row r="24" spans="1:8" ht="61.05" customHeight="1">
      <c r="A24" s="2" t="s">
        <v>41</v>
      </c>
      <c r="B24" s="2" t="s">
        <v>20</v>
      </c>
      <c r="C24" s="8">
        <f>$B$4</f>
        <v>482</v>
      </c>
      <c r="D24" s="8">
        <v>1</v>
      </c>
      <c r="E24" s="8">
        <v>12</v>
      </c>
      <c r="F24" s="12">
        <f>C24*D24/E24</f>
        <v>40.166666666666664</v>
      </c>
      <c r="G24" s="9">
        <f t="shared" si="0"/>
        <v>40.17</v>
      </c>
      <c r="H24" s="2" t="s">
        <v>88</v>
      </c>
    </row>
    <row r="25" spans="1:8" ht="61.05" customHeight="1">
      <c r="A25" s="2" t="s">
        <v>41</v>
      </c>
      <c r="B25" s="2" t="s">
        <v>89</v>
      </c>
      <c r="C25" s="8">
        <v>1000</v>
      </c>
      <c r="D25" s="8">
        <v>30</v>
      </c>
      <c r="E25" s="8">
        <v>720</v>
      </c>
      <c r="F25" s="12">
        <f>C25*D25/E25</f>
        <v>41.666666666666664</v>
      </c>
      <c r="G25" s="9">
        <f t="shared" si="0"/>
        <v>41.67</v>
      </c>
      <c r="H25" s="2" t="s">
        <v>90</v>
      </c>
    </row>
    <row r="26" spans="1:8">
      <c r="A26" s="1"/>
      <c r="B26" s="1"/>
      <c r="C26" s="10"/>
      <c r="D26" s="10"/>
      <c r="E26" s="10"/>
      <c r="F26" s="10"/>
      <c r="G26" s="10"/>
      <c r="H26" s="1"/>
    </row>
    <row r="27" spans="1:8">
      <c r="A27" s="1"/>
      <c r="B27" s="1"/>
      <c r="C27" s="10"/>
      <c r="D27" s="10"/>
      <c r="E27" s="10"/>
      <c r="F27" s="10"/>
      <c r="G27" s="10"/>
      <c r="H27" s="1"/>
    </row>
    <row r="28" spans="1:8" ht="27" customHeight="1">
      <c r="A28" s="23" t="s">
        <v>91</v>
      </c>
      <c r="B28" s="23"/>
      <c r="C28" s="25"/>
      <c r="D28" s="25"/>
      <c r="E28" s="25"/>
      <c r="F28" s="25"/>
      <c r="G28" s="25"/>
      <c r="H28" s="23"/>
    </row>
    <row r="29" spans="1:8" ht="37.950000000000003" customHeight="1">
      <c r="A29" s="5" t="s">
        <v>0</v>
      </c>
      <c r="B29" s="5" t="s">
        <v>92</v>
      </c>
      <c r="C29" s="11" t="s">
        <v>57</v>
      </c>
      <c r="D29" s="11" t="s">
        <v>58</v>
      </c>
      <c r="E29" s="11" t="s">
        <v>93</v>
      </c>
      <c r="F29" s="11" t="s">
        <v>60</v>
      </c>
      <c r="G29" s="11" t="s">
        <v>61</v>
      </c>
      <c r="H29" s="5" t="s">
        <v>94</v>
      </c>
    </row>
    <row r="30" spans="1:8" ht="64.05" customHeight="1">
      <c r="A30" s="13" t="s">
        <v>38</v>
      </c>
      <c r="B30" s="13" t="s">
        <v>95</v>
      </c>
      <c r="C30" s="14">
        <v>700</v>
      </c>
      <c r="D30" s="14">
        <v>2.3333333333333335</v>
      </c>
      <c r="E30" s="14">
        <v>0.25</v>
      </c>
      <c r="F30" s="14">
        <f>C30*D30*E30</f>
        <v>408.33333333333337</v>
      </c>
      <c r="G30" s="14">
        <f>ROUND(F30,2)</f>
        <v>408.33</v>
      </c>
      <c r="H30" s="13" t="s">
        <v>96</v>
      </c>
    </row>
    <row r="31" spans="1:8" ht="64.05" customHeight="1">
      <c r="A31" s="13" t="s">
        <v>41</v>
      </c>
      <c r="B31" s="13" t="s">
        <v>95</v>
      </c>
      <c r="C31" s="14">
        <v>1000</v>
      </c>
      <c r="D31" s="14">
        <v>6.083333333333333</v>
      </c>
      <c r="E31" s="14">
        <v>0.25</v>
      </c>
      <c r="F31" s="14">
        <f>C31*D31*E31</f>
        <v>1520.8333333333333</v>
      </c>
      <c r="G31" s="14">
        <f>ROUND(F31,2)</f>
        <v>1520.83</v>
      </c>
      <c r="H31" s="13" t="s">
        <v>96</v>
      </c>
    </row>
    <row r="32" spans="1:8" ht="64.05" customHeight="1">
      <c r="A32" s="13" t="s">
        <v>41</v>
      </c>
      <c r="B32" s="13" t="s">
        <v>97</v>
      </c>
      <c r="C32" s="14">
        <v>1000</v>
      </c>
      <c r="D32" s="14">
        <v>30</v>
      </c>
      <c r="E32" s="14">
        <v>360</v>
      </c>
      <c r="F32" s="14">
        <f>C32/30*16*D32/E32</f>
        <v>44.44444444444445</v>
      </c>
      <c r="G32" s="14">
        <f>ROUND(F32,2)</f>
        <v>44.44</v>
      </c>
      <c r="H32" s="13" t="s">
        <v>98</v>
      </c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 ht="43.95" customHeight="1">
      <c r="A34" s="24" t="s">
        <v>99</v>
      </c>
      <c r="B34" s="24"/>
      <c r="C34" s="24"/>
      <c r="D34" s="24"/>
      <c r="E34" s="24"/>
      <c r="F34" s="24"/>
      <c r="G34" s="24"/>
      <c r="H34" s="24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 ht="27" customHeight="1">
      <c r="A36" s="23" t="s">
        <v>100</v>
      </c>
      <c r="B36" s="23"/>
      <c r="C36" s="23"/>
      <c r="D36" s="23"/>
      <c r="E36" s="23"/>
      <c r="F36" s="23"/>
      <c r="G36" s="23"/>
      <c r="H36" s="23"/>
    </row>
    <row r="37" spans="1:8" ht="22.95" customHeight="1">
      <c r="A37" s="1" t="s">
        <v>101</v>
      </c>
      <c r="B37" s="24" t="s">
        <v>102</v>
      </c>
      <c r="C37" s="24"/>
      <c r="D37" s="24"/>
      <c r="E37" s="24"/>
      <c r="F37" s="24"/>
      <c r="G37" s="24"/>
      <c r="H37" s="24"/>
    </row>
    <row r="38" spans="1:8" ht="22.95" customHeight="1">
      <c r="A38" s="1"/>
      <c r="B38" s="24" t="s">
        <v>103</v>
      </c>
      <c r="C38" s="24"/>
      <c r="D38" s="24"/>
      <c r="E38" s="24"/>
      <c r="F38" s="24"/>
      <c r="G38" s="24"/>
      <c r="H38" s="24"/>
    </row>
    <row r="39" spans="1:8" ht="22.95" customHeight="1">
      <c r="A39" s="1"/>
      <c r="B39" s="24"/>
      <c r="C39" s="24"/>
      <c r="D39" s="24"/>
      <c r="E39" s="24"/>
      <c r="F39" s="24"/>
      <c r="G39" s="24"/>
      <c r="H39" s="24"/>
    </row>
    <row r="40" spans="1:8" ht="22.95" customHeight="1">
      <c r="A40" s="1" t="s">
        <v>51</v>
      </c>
      <c r="B40" s="24" t="s">
        <v>104</v>
      </c>
      <c r="C40" s="24"/>
      <c r="D40" s="24"/>
      <c r="E40" s="24"/>
      <c r="F40" s="24"/>
      <c r="G40" s="24"/>
      <c r="H40" s="24"/>
    </row>
    <row r="41" spans="1:8" ht="22.95" customHeight="1">
      <c r="A41" s="1"/>
      <c r="B41" s="24" t="s">
        <v>105</v>
      </c>
      <c r="C41" s="24"/>
      <c r="D41" s="24"/>
      <c r="E41" s="24"/>
      <c r="F41" s="24"/>
      <c r="G41" s="24"/>
      <c r="H41" s="24"/>
    </row>
    <row r="42" spans="1:8" ht="22.95" customHeight="1">
      <c r="A42" s="1"/>
      <c r="B42" s="24"/>
      <c r="C42" s="24"/>
      <c r="D42" s="24"/>
      <c r="E42" s="24"/>
      <c r="F42" s="24"/>
      <c r="G42" s="24"/>
      <c r="H42" s="24"/>
    </row>
    <row r="43" spans="1:8" ht="22.95" customHeight="1">
      <c r="A43" s="1" t="s">
        <v>106</v>
      </c>
      <c r="B43" s="24" t="s">
        <v>107</v>
      </c>
      <c r="C43" s="24"/>
      <c r="D43" s="24"/>
      <c r="E43" s="24"/>
      <c r="F43" s="24"/>
      <c r="G43" s="24"/>
      <c r="H43" s="24"/>
    </row>
    <row r="44" spans="1:8" ht="22.95" customHeight="1">
      <c r="A44" s="1"/>
      <c r="B44" s="24" t="s">
        <v>108</v>
      </c>
      <c r="C44" s="24"/>
      <c r="D44" s="24"/>
      <c r="E44" s="24"/>
      <c r="F44" s="24"/>
      <c r="G44" s="24"/>
      <c r="H44" s="24"/>
    </row>
    <row r="45" spans="1:8" ht="22.95" customHeight="1">
      <c r="A45" s="1"/>
      <c r="B45" s="24"/>
      <c r="C45" s="24"/>
      <c r="D45" s="24"/>
      <c r="E45" s="24"/>
      <c r="F45" s="24"/>
      <c r="G45" s="24"/>
      <c r="H45" s="24"/>
    </row>
    <row r="46" spans="1:8" ht="22.95" customHeight="1">
      <c r="A46" s="1" t="s">
        <v>109</v>
      </c>
      <c r="B46" s="24" t="s">
        <v>110</v>
      </c>
      <c r="C46" s="24"/>
      <c r="D46" s="24"/>
      <c r="E46" s="24"/>
      <c r="F46" s="24"/>
      <c r="G46" s="24"/>
      <c r="H46" s="24"/>
    </row>
    <row r="47" spans="1:8" ht="22.95" customHeight="1">
      <c r="A47" s="1"/>
      <c r="B47" s="24" t="s">
        <v>111</v>
      </c>
      <c r="C47" s="24"/>
      <c r="D47" s="24"/>
      <c r="E47" s="24"/>
      <c r="F47" s="24"/>
      <c r="G47" s="24"/>
      <c r="H47" s="24"/>
    </row>
    <row r="48" spans="1:8" ht="22.95" customHeight="1">
      <c r="A48" s="1"/>
      <c r="B48" s="24"/>
      <c r="C48" s="24"/>
      <c r="D48" s="24"/>
      <c r="E48" s="24"/>
      <c r="F48" s="24"/>
      <c r="G48" s="24"/>
      <c r="H48" s="24"/>
    </row>
    <row r="49" spans="1:8" ht="22.95" customHeight="1">
      <c r="A49" s="1" t="s">
        <v>112</v>
      </c>
      <c r="B49" s="24" t="s">
        <v>113</v>
      </c>
      <c r="C49" s="24"/>
      <c r="D49" s="24"/>
      <c r="E49" s="24"/>
      <c r="F49" s="24"/>
      <c r="G49" s="24"/>
      <c r="H49" s="24"/>
    </row>
    <row r="50" spans="1:8" ht="22.95" customHeight="1">
      <c r="A50" s="1"/>
      <c r="B50" s="24" t="s">
        <v>114</v>
      </c>
      <c r="C50" s="24"/>
      <c r="D50" s="24"/>
      <c r="E50" s="24"/>
      <c r="F50" s="24"/>
      <c r="G50" s="24"/>
      <c r="H50" s="24"/>
    </row>
    <row r="51" spans="1:8" ht="22.95" customHeight="1">
      <c r="A51" s="1"/>
      <c r="B51" s="24"/>
      <c r="C51" s="24"/>
      <c r="D51" s="24"/>
      <c r="E51" s="24"/>
      <c r="F51" s="24"/>
      <c r="G51" s="24"/>
      <c r="H51" s="24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30" customHeight="1">
      <c r="A54" s="20" t="s">
        <v>116</v>
      </c>
      <c r="B54" s="20"/>
      <c r="C54" s="20"/>
      <c r="D54" s="20"/>
      <c r="E54" s="20"/>
      <c r="F54" s="20"/>
      <c r="G54" s="20"/>
      <c r="H54" s="20"/>
    </row>
    <row r="55" spans="1:8" ht="43.95" customHeight="1">
      <c r="A55" s="17" t="s">
        <v>117</v>
      </c>
      <c r="B55" s="17"/>
      <c r="C55" s="17"/>
      <c r="D55" s="17"/>
      <c r="E55" s="17"/>
      <c r="F55" s="17"/>
      <c r="G55" s="17"/>
      <c r="H55" s="17"/>
    </row>
    <row r="56" spans="1:8" ht="28.95" customHeight="1">
      <c r="A56" s="20" t="s">
        <v>118</v>
      </c>
      <c r="B56" s="20"/>
      <c r="C56" s="20"/>
      <c r="D56" s="20"/>
      <c r="E56" s="20"/>
      <c r="F56" s="20"/>
      <c r="G56" s="20"/>
      <c r="H56" s="20"/>
    </row>
    <row r="57" spans="1:8" ht="36" customHeight="1">
      <c r="A57" s="17" t="s">
        <v>119</v>
      </c>
      <c r="B57" s="17"/>
      <c r="C57" s="17"/>
      <c r="D57" s="17"/>
      <c r="E57" s="17"/>
      <c r="F57" s="17"/>
      <c r="G57" s="17"/>
      <c r="H57" s="17"/>
    </row>
    <row r="58" spans="1:8" ht="40.049999999999997" customHeight="1">
      <c r="A58" s="17" t="s">
        <v>120</v>
      </c>
      <c r="B58" s="17"/>
      <c r="C58" s="17"/>
      <c r="D58" s="17"/>
      <c r="E58" s="17"/>
      <c r="F58" s="17"/>
      <c r="G58" s="17"/>
      <c r="H58" s="17"/>
    </row>
    <row r="59" spans="1:8" ht="36" customHeight="1">
      <c r="A59" s="17" t="s">
        <v>121</v>
      </c>
      <c r="B59" s="17"/>
      <c r="C59" s="17"/>
      <c r="D59" s="17"/>
      <c r="E59" s="17"/>
      <c r="F59" s="17"/>
      <c r="G59" s="17"/>
      <c r="H59" s="17"/>
    </row>
    <row r="60" spans="1:8" ht="36" customHeight="1">
      <c r="A60" s="17" t="s">
        <v>122</v>
      </c>
      <c r="B60" s="17"/>
      <c r="C60" s="17"/>
      <c r="D60" s="17"/>
      <c r="E60" s="17"/>
      <c r="F60" s="17"/>
      <c r="G60" s="17"/>
      <c r="H60" s="17"/>
    </row>
    <row r="61" spans="1:8" ht="30" customHeight="1">
      <c r="A61" s="21" t="s">
        <v>123</v>
      </c>
      <c r="B61" s="21"/>
      <c r="C61" s="22">
        <f>'Resultados '!C4</f>
        <v>600</v>
      </c>
      <c r="D61" s="22"/>
      <c r="E61" s="15"/>
      <c r="F61" s="15"/>
      <c r="G61" s="15"/>
      <c r="H61" s="15"/>
    </row>
    <row r="62" spans="1:8" ht="42" customHeight="1">
      <c r="A62" s="17" t="s">
        <v>124</v>
      </c>
      <c r="B62" s="17"/>
      <c r="C62" s="17"/>
      <c r="D62" s="17"/>
      <c r="E62" s="17"/>
      <c r="F62" s="17"/>
      <c r="G62" s="17"/>
      <c r="H62" s="17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 ht="28.95" customHeight="1">
      <c r="A64" s="20" t="s">
        <v>125</v>
      </c>
      <c r="B64" s="20"/>
      <c r="C64" s="20"/>
      <c r="D64" s="20"/>
      <c r="E64" s="20"/>
      <c r="F64" s="20"/>
      <c r="G64" s="20"/>
      <c r="H64" s="20"/>
    </row>
    <row r="65" spans="1:8" ht="36" customHeight="1">
      <c r="A65" s="17" t="s">
        <v>126</v>
      </c>
      <c r="B65" s="17"/>
      <c r="C65" s="17"/>
      <c r="D65" s="17"/>
      <c r="E65" s="17"/>
      <c r="F65" s="17"/>
      <c r="G65" s="17"/>
      <c r="H65" s="17"/>
    </row>
    <row r="66" spans="1:8" ht="40.049999999999997" customHeight="1">
      <c r="A66" s="17" t="s">
        <v>127</v>
      </c>
      <c r="B66" s="17"/>
      <c r="C66" s="17"/>
      <c r="D66" s="17"/>
      <c r="E66" s="17"/>
      <c r="F66" s="17"/>
      <c r="G66" s="17"/>
      <c r="H66" s="17"/>
    </row>
    <row r="67" spans="1:8" ht="36" customHeight="1">
      <c r="A67" s="17" t="s">
        <v>128</v>
      </c>
      <c r="B67" s="17"/>
      <c r="C67" s="17"/>
      <c r="D67" s="17"/>
      <c r="E67" s="17"/>
      <c r="F67" s="17"/>
      <c r="G67" s="17"/>
      <c r="H67" s="17"/>
    </row>
    <row r="68" spans="1:8" ht="36" customHeight="1">
      <c r="A68" s="17" t="s">
        <v>129</v>
      </c>
      <c r="B68" s="17"/>
      <c r="C68" s="17"/>
      <c r="D68" s="17"/>
      <c r="E68" s="17"/>
      <c r="F68" s="17"/>
      <c r="G68" s="17"/>
      <c r="H68" s="17"/>
    </row>
    <row r="69" spans="1:8" ht="36" customHeight="1">
      <c r="A69" s="17" t="s">
        <v>130</v>
      </c>
      <c r="B69" s="17"/>
      <c r="C69" s="17"/>
      <c r="D69" s="17"/>
      <c r="E69" s="17"/>
      <c r="F69" s="17"/>
      <c r="G69" s="17"/>
      <c r="H69" s="17"/>
    </row>
    <row r="70" spans="1:8" ht="30" customHeight="1">
      <c r="A70" s="21" t="s">
        <v>123</v>
      </c>
      <c r="B70" s="21"/>
      <c r="C70" s="22">
        <f>'Resultados '!C5</f>
        <v>250</v>
      </c>
      <c r="D70" s="22"/>
      <c r="E70" s="15"/>
      <c r="F70" s="15"/>
      <c r="G70" s="15"/>
      <c r="H70" s="15"/>
    </row>
    <row r="71" spans="1:8" ht="42" customHeight="1">
      <c r="A71" s="17" t="s">
        <v>131</v>
      </c>
      <c r="B71" s="17"/>
      <c r="C71" s="17"/>
      <c r="D71" s="17"/>
      <c r="E71" s="17"/>
      <c r="F71" s="17"/>
      <c r="G71" s="17"/>
      <c r="H71" s="17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 ht="28.95" customHeight="1">
      <c r="A73" s="20" t="s">
        <v>132</v>
      </c>
      <c r="B73" s="20"/>
      <c r="C73" s="20"/>
      <c r="D73" s="20"/>
      <c r="E73" s="20"/>
      <c r="F73" s="20"/>
      <c r="G73" s="20"/>
      <c r="H73" s="20"/>
    </row>
    <row r="74" spans="1:8" ht="36" customHeight="1">
      <c r="A74" s="17" t="s">
        <v>133</v>
      </c>
      <c r="B74" s="17"/>
      <c r="C74" s="17"/>
      <c r="D74" s="17"/>
      <c r="E74" s="17"/>
      <c r="F74" s="17"/>
      <c r="G74" s="17"/>
      <c r="H74" s="17"/>
    </row>
    <row r="75" spans="1:8" ht="40.049999999999997" customHeight="1">
      <c r="A75" s="17" t="s">
        <v>134</v>
      </c>
      <c r="B75" s="17"/>
      <c r="C75" s="17"/>
      <c r="D75" s="17"/>
      <c r="E75" s="17"/>
      <c r="F75" s="17"/>
      <c r="G75" s="17"/>
      <c r="H75" s="17"/>
    </row>
    <row r="76" spans="1:8" ht="36" customHeight="1">
      <c r="A76" s="17" t="s">
        <v>135</v>
      </c>
      <c r="B76" s="17"/>
      <c r="C76" s="17"/>
      <c r="D76" s="17"/>
      <c r="E76" s="17"/>
      <c r="F76" s="17"/>
      <c r="G76" s="17"/>
      <c r="H76" s="17"/>
    </row>
    <row r="77" spans="1:8" ht="36" customHeight="1">
      <c r="A77" s="17" t="s">
        <v>136</v>
      </c>
      <c r="B77" s="17"/>
      <c r="C77" s="17"/>
      <c r="D77" s="17"/>
      <c r="E77" s="17"/>
      <c r="F77" s="17"/>
      <c r="G77" s="17"/>
      <c r="H77" s="17"/>
    </row>
    <row r="78" spans="1:8" ht="36" customHeight="1">
      <c r="A78" s="17" t="s">
        <v>137</v>
      </c>
      <c r="B78" s="17"/>
      <c r="C78" s="17"/>
      <c r="D78" s="17"/>
      <c r="E78" s="17"/>
      <c r="F78" s="17"/>
      <c r="G78" s="17"/>
      <c r="H78" s="17"/>
    </row>
    <row r="79" spans="1:8" ht="36" customHeight="1">
      <c r="A79" s="17" t="s">
        <v>138</v>
      </c>
      <c r="B79" s="17"/>
      <c r="C79" s="17"/>
      <c r="D79" s="17"/>
      <c r="E79" s="17"/>
      <c r="F79" s="17"/>
      <c r="G79" s="17"/>
      <c r="H79" s="17"/>
    </row>
    <row r="80" spans="1:8" ht="30" customHeight="1">
      <c r="A80" s="21" t="s">
        <v>123</v>
      </c>
      <c r="B80" s="21"/>
      <c r="C80" s="22">
        <f>'Resultados '!C6</f>
        <v>737.5</v>
      </c>
      <c r="D80" s="22"/>
      <c r="E80" s="15"/>
      <c r="F80" s="15"/>
      <c r="G80" s="15"/>
      <c r="H80" s="15"/>
    </row>
    <row r="81" spans="1:8" ht="42" customHeight="1">
      <c r="A81" s="17" t="s">
        <v>139</v>
      </c>
      <c r="B81" s="17"/>
      <c r="C81" s="17"/>
      <c r="D81" s="17"/>
      <c r="E81" s="17"/>
      <c r="F81" s="17"/>
      <c r="G81" s="17"/>
      <c r="H81" s="17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 ht="28.95" customHeight="1">
      <c r="A83" s="20" t="s">
        <v>140</v>
      </c>
      <c r="B83" s="20"/>
      <c r="C83" s="20"/>
      <c r="D83" s="20"/>
      <c r="E83" s="20"/>
      <c r="F83" s="20"/>
      <c r="G83" s="20"/>
      <c r="H83" s="20"/>
    </row>
    <row r="84" spans="1:8" ht="36" customHeight="1">
      <c r="A84" s="17" t="s">
        <v>141</v>
      </c>
      <c r="B84" s="17"/>
      <c r="C84" s="17"/>
      <c r="D84" s="17"/>
      <c r="E84" s="17"/>
      <c r="F84" s="17"/>
      <c r="G84" s="17"/>
      <c r="H84" s="17"/>
    </row>
    <row r="85" spans="1:8" ht="40.049999999999997" customHeight="1">
      <c r="A85" s="17" t="s">
        <v>142</v>
      </c>
      <c r="B85" s="17"/>
      <c r="C85" s="17"/>
      <c r="D85" s="17"/>
      <c r="E85" s="17"/>
      <c r="F85" s="17"/>
      <c r="G85" s="17"/>
      <c r="H85" s="17"/>
    </row>
    <row r="86" spans="1:8" ht="36" customHeight="1">
      <c r="A86" s="17" t="s">
        <v>143</v>
      </c>
      <c r="B86" s="17"/>
      <c r="C86" s="17"/>
      <c r="D86" s="17"/>
      <c r="E86" s="17"/>
      <c r="F86" s="17"/>
      <c r="G86" s="17"/>
      <c r="H86" s="17"/>
    </row>
    <row r="87" spans="1:8" ht="36" customHeight="1">
      <c r="A87" s="17" t="s">
        <v>144</v>
      </c>
      <c r="B87" s="17"/>
      <c r="C87" s="17"/>
      <c r="D87" s="17"/>
      <c r="E87" s="17"/>
      <c r="F87" s="17"/>
      <c r="G87" s="17"/>
      <c r="H87" s="17"/>
    </row>
    <row r="88" spans="1:8" ht="30" customHeight="1">
      <c r="A88" s="21" t="s">
        <v>123</v>
      </c>
      <c r="B88" s="21"/>
      <c r="C88" s="22">
        <f>'Resultados '!C7</f>
        <v>482</v>
      </c>
      <c r="D88" s="22"/>
      <c r="E88" s="15"/>
      <c r="F88" s="15"/>
      <c r="G88" s="15"/>
      <c r="H88" s="15"/>
    </row>
    <row r="89" spans="1:8" ht="42" customHeight="1">
      <c r="A89" s="17" t="s">
        <v>145</v>
      </c>
      <c r="B89" s="17"/>
      <c r="C89" s="17"/>
      <c r="D89" s="17"/>
      <c r="E89" s="17"/>
      <c r="F89" s="17"/>
      <c r="G89" s="17"/>
      <c r="H89" s="17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 ht="28.95" customHeight="1">
      <c r="A91" s="20" t="s">
        <v>146</v>
      </c>
      <c r="B91" s="20"/>
      <c r="C91" s="20"/>
      <c r="D91" s="20"/>
      <c r="E91" s="20"/>
      <c r="F91" s="20"/>
      <c r="G91" s="20"/>
      <c r="H91" s="20"/>
    </row>
    <row r="92" spans="1:8" ht="36" customHeight="1">
      <c r="A92" s="17" t="s">
        <v>147</v>
      </c>
      <c r="B92" s="17"/>
      <c r="C92" s="17"/>
      <c r="D92" s="17"/>
      <c r="E92" s="17"/>
      <c r="F92" s="17"/>
      <c r="G92" s="17"/>
      <c r="H92" s="17"/>
    </row>
    <row r="93" spans="1:8" ht="40.049999999999997" customHeight="1">
      <c r="A93" s="17" t="s">
        <v>148</v>
      </c>
      <c r="B93" s="17"/>
      <c r="C93" s="17"/>
      <c r="D93" s="17"/>
      <c r="E93" s="17"/>
      <c r="F93" s="17"/>
      <c r="G93" s="17"/>
      <c r="H93" s="17"/>
    </row>
    <row r="94" spans="1:8" ht="36" customHeight="1">
      <c r="A94" s="17" t="s">
        <v>149</v>
      </c>
      <c r="B94" s="17"/>
      <c r="C94" s="17"/>
      <c r="D94" s="17"/>
      <c r="E94" s="17"/>
      <c r="F94" s="17"/>
      <c r="G94" s="17"/>
      <c r="H94" s="17"/>
    </row>
    <row r="95" spans="1:8" ht="36" customHeight="1">
      <c r="A95" s="17" t="s">
        <v>150</v>
      </c>
      <c r="B95" s="17"/>
      <c r="C95" s="17"/>
      <c r="D95" s="17"/>
      <c r="E95" s="17"/>
      <c r="F95" s="17"/>
      <c r="G95" s="17"/>
      <c r="H95" s="17"/>
    </row>
    <row r="96" spans="1:8" ht="30" customHeight="1">
      <c r="A96" s="21" t="s">
        <v>123</v>
      </c>
      <c r="B96" s="21"/>
      <c r="C96" s="22">
        <f>'Resultados '!C8</f>
        <v>241</v>
      </c>
      <c r="D96" s="22"/>
      <c r="E96" s="15"/>
      <c r="F96" s="15"/>
      <c r="G96" s="15"/>
      <c r="H96" s="15"/>
    </row>
    <row r="97" spans="1:8" ht="42" customHeight="1">
      <c r="A97" s="17" t="s">
        <v>151</v>
      </c>
      <c r="B97" s="17"/>
      <c r="C97" s="17"/>
      <c r="D97" s="17"/>
      <c r="E97" s="17"/>
      <c r="F97" s="17"/>
      <c r="G97" s="17"/>
      <c r="H97" s="17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 ht="28.95" customHeight="1">
      <c r="A99" s="20" t="s">
        <v>152</v>
      </c>
      <c r="B99" s="20"/>
      <c r="C99" s="20"/>
      <c r="D99" s="20"/>
      <c r="E99" s="20"/>
      <c r="F99" s="20"/>
      <c r="G99" s="20"/>
      <c r="H99" s="20"/>
    </row>
    <row r="100" spans="1:8" ht="36" customHeight="1">
      <c r="A100" s="17" t="s">
        <v>153</v>
      </c>
      <c r="B100" s="17"/>
      <c r="C100" s="17"/>
      <c r="D100" s="17"/>
      <c r="E100" s="17"/>
      <c r="F100" s="17"/>
      <c r="G100" s="17"/>
      <c r="H100" s="17"/>
    </row>
    <row r="101" spans="1:8" ht="40.049999999999997" customHeight="1">
      <c r="A101" s="17" t="s">
        <v>154</v>
      </c>
      <c r="B101" s="17"/>
      <c r="C101" s="17"/>
      <c r="D101" s="17"/>
      <c r="E101" s="17"/>
      <c r="F101" s="17"/>
      <c r="G101" s="17"/>
      <c r="H101" s="17"/>
    </row>
    <row r="102" spans="1:8" ht="36" customHeight="1">
      <c r="A102" s="17" t="s">
        <v>155</v>
      </c>
      <c r="B102" s="17"/>
      <c r="C102" s="17"/>
      <c r="D102" s="17"/>
      <c r="E102" s="17"/>
      <c r="F102" s="17"/>
      <c r="G102" s="17"/>
      <c r="H102" s="17"/>
    </row>
    <row r="103" spans="1:8" ht="36" customHeight="1">
      <c r="A103" s="17" t="s">
        <v>156</v>
      </c>
      <c r="B103" s="17"/>
      <c r="C103" s="17"/>
      <c r="D103" s="17"/>
      <c r="E103" s="17"/>
      <c r="F103" s="17"/>
      <c r="G103" s="17"/>
      <c r="H103" s="17"/>
    </row>
    <row r="104" spans="1:8" ht="36" customHeight="1">
      <c r="A104" s="17" t="s">
        <v>157</v>
      </c>
      <c r="B104" s="17"/>
      <c r="C104" s="17"/>
      <c r="D104" s="17"/>
      <c r="E104" s="17"/>
      <c r="F104" s="17"/>
      <c r="G104" s="17"/>
      <c r="H104" s="17"/>
    </row>
    <row r="105" spans="1:8" ht="30" customHeight="1">
      <c r="A105" s="18" t="s">
        <v>123</v>
      </c>
      <c r="B105" s="18"/>
      <c r="C105" s="19">
        <f>'Resultados '!C9</f>
        <v>300</v>
      </c>
      <c r="D105" s="19"/>
      <c r="E105" s="16"/>
      <c r="F105" s="16"/>
      <c r="G105" s="16"/>
      <c r="H105" s="16"/>
    </row>
    <row r="106" spans="1:8" ht="42" customHeight="1">
      <c r="A106" s="17" t="s">
        <v>158</v>
      </c>
      <c r="B106" s="17"/>
      <c r="C106" s="17"/>
      <c r="D106" s="17"/>
      <c r="E106" s="17"/>
      <c r="F106" s="17"/>
      <c r="G106" s="17"/>
      <c r="H106" s="17"/>
    </row>
    <row r="108" spans="1:8" ht="28.95" customHeight="1">
      <c r="A108" s="20" t="s">
        <v>159</v>
      </c>
      <c r="B108" s="20"/>
      <c r="C108" s="20"/>
      <c r="D108" s="20"/>
      <c r="E108" s="20"/>
      <c r="F108" s="20"/>
      <c r="G108" s="20"/>
      <c r="H108" s="20"/>
    </row>
    <row r="109" spans="1:8" ht="36" customHeight="1">
      <c r="A109" s="17" t="s">
        <v>160</v>
      </c>
      <c r="B109" s="17"/>
      <c r="C109" s="17"/>
      <c r="D109" s="17"/>
      <c r="E109" s="17"/>
      <c r="F109" s="17"/>
      <c r="G109" s="17"/>
      <c r="H109" s="17"/>
    </row>
    <row r="110" spans="1:8" ht="40.049999999999997" customHeight="1">
      <c r="A110" s="17" t="s">
        <v>161</v>
      </c>
      <c r="B110" s="17"/>
      <c r="C110" s="17"/>
      <c r="D110" s="17"/>
      <c r="E110" s="17"/>
      <c r="F110" s="17"/>
      <c r="G110" s="17"/>
      <c r="H110" s="17"/>
    </row>
    <row r="111" spans="1:8" ht="36" customHeight="1">
      <c r="A111" s="17" t="s">
        <v>162</v>
      </c>
      <c r="B111" s="17"/>
      <c r="C111" s="17"/>
      <c r="D111" s="17"/>
      <c r="E111" s="17"/>
      <c r="F111" s="17"/>
      <c r="G111" s="17"/>
      <c r="H111" s="17"/>
    </row>
    <row r="112" spans="1:8" ht="36" customHeight="1">
      <c r="A112" s="17" t="s">
        <v>163</v>
      </c>
      <c r="B112" s="17"/>
      <c r="C112" s="17"/>
      <c r="D112" s="17"/>
      <c r="E112" s="17"/>
      <c r="F112" s="17"/>
      <c r="G112" s="17"/>
      <c r="H112" s="17"/>
    </row>
    <row r="113" spans="1:8" ht="36" customHeight="1">
      <c r="A113" s="17" t="s">
        <v>164</v>
      </c>
      <c r="B113" s="17"/>
      <c r="C113" s="17"/>
      <c r="D113" s="17"/>
      <c r="E113" s="17"/>
      <c r="F113" s="17"/>
      <c r="G113" s="17"/>
      <c r="H113" s="17"/>
    </row>
    <row r="114" spans="1:8" ht="36" customHeight="1">
      <c r="A114" s="17" t="s">
        <v>165</v>
      </c>
      <c r="B114" s="17"/>
      <c r="C114" s="17"/>
      <c r="D114" s="17"/>
      <c r="E114" s="17"/>
      <c r="F114" s="17"/>
      <c r="G114" s="17"/>
      <c r="H114" s="17"/>
    </row>
    <row r="115" spans="1:8" ht="36" customHeight="1">
      <c r="A115" s="17" t="s">
        <v>166</v>
      </c>
      <c r="B115" s="17"/>
      <c r="C115" s="17"/>
      <c r="D115" s="17"/>
      <c r="E115" s="17"/>
      <c r="F115" s="17"/>
      <c r="G115" s="17"/>
      <c r="H115" s="17"/>
    </row>
    <row r="116" spans="1:8" ht="30" customHeight="1">
      <c r="A116" s="18" t="s">
        <v>123</v>
      </c>
      <c r="B116" s="18"/>
      <c r="C116" s="19">
        <f>'Resultados '!C10</f>
        <v>510</v>
      </c>
      <c r="D116" s="19"/>
      <c r="E116" s="16"/>
      <c r="F116" s="16"/>
      <c r="G116" s="16"/>
      <c r="H116" s="16"/>
    </row>
    <row r="117" spans="1:8" ht="42" customHeight="1">
      <c r="A117" s="17" t="s">
        <v>167</v>
      </c>
      <c r="B117" s="17"/>
      <c r="C117" s="17"/>
      <c r="D117" s="17"/>
      <c r="E117" s="17"/>
      <c r="F117" s="17"/>
      <c r="G117" s="17"/>
      <c r="H117" s="17"/>
    </row>
    <row r="119" spans="1:8" ht="28.95" customHeight="1">
      <c r="A119" s="20" t="s">
        <v>168</v>
      </c>
      <c r="B119" s="20"/>
      <c r="C119" s="20"/>
      <c r="D119" s="20"/>
      <c r="E119" s="20"/>
      <c r="F119" s="20"/>
      <c r="G119" s="20"/>
      <c r="H119" s="20"/>
    </row>
    <row r="120" spans="1:8" ht="36" customHeight="1">
      <c r="A120" s="17" t="s">
        <v>169</v>
      </c>
      <c r="B120" s="17"/>
      <c r="C120" s="17"/>
      <c r="D120" s="17"/>
      <c r="E120" s="17"/>
      <c r="F120" s="17"/>
      <c r="G120" s="17"/>
      <c r="H120" s="17"/>
    </row>
    <row r="121" spans="1:8" ht="40.049999999999997" customHeight="1">
      <c r="A121" s="17" t="s">
        <v>170</v>
      </c>
      <c r="B121" s="17"/>
      <c r="C121" s="17"/>
      <c r="D121" s="17"/>
      <c r="E121" s="17"/>
      <c r="F121" s="17"/>
      <c r="G121" s="17"/>
      <c r="H121" s="17"/>
    </row>
    <row r="122" spans="1:8" ht="36" customHeight="1">
      <c r="A122" s="17" t="s">
        <v>171</v>
      </c>
      <c r="B122" s="17"/>
      <c r="C122" s="17"/>
      <c r="D122" s="17"/>
      <c r="E122" s="17"/>
      <c r="F122" s="17"/>
      <c r="G122" s="17"/>
      <c r="H122" s="17"/>
    </row>
    <row r="123" spans="1:8" ht="36" customHeight="1">
      <c r="A123" s="17" t="s">
        <v>172</v>
      </c>
      <c r="B123" s="17"/>
      <c r="C123" s="17"/>
      <c r="D123" s="17"/>
      <c r="E123" s="17"/>
      <c r="F123" s="17"/>
      <c r="G123" s="17"/>
      <c r="H123" s="17"/>
    </row>
    <row r="124" spans="1:8" ht="36" customHeight="1">
      <c r="A124" s="17" t="s">
        <v>173</v>
      </c>
      <c r="B124" s="17"/>
      <c r="C124" s="17"/>
      <c r="D124" s="17"/>
      <c r="E124" s="17"/>
      <c r="F124" s="17"/>
      <c r="G124" s="17"/>
      <c r="H124" s="17"/>
    </row>
    <row r="125" spans="1:8" ht="36" customHeight="1">
      <c r="A125" s="17" t="s">
        <v>174</v>
      </c>
      <c r="B125" s="17"/>
      <c r="C125" s="17"/>
      <c r="D125" s="17"/>
      <c r="E125" s="17"/>
      <c r="F125" s="17"/>
      <c r="G125" s="17"/>
      <c r="H125" s="17"/>
    </row>
    <row r="126" spans="1:8" ht="30" customHeight="1">
      <c r="A126" s="18" t="s">
        <v>123</v>
      </c>
      <c r="B126" s="18"/>
      <c r="C126" s="19">
        <f>'Resultados '!C11</f>
        <v>76.67</v>
      </c>
      <c r="D126" s="19"/>
      <c r="E126" s="16"/>
      <c r="F126" s="16"/>
      <c r="G126" s="16"/>
      <c r="H126" s="16"/>
    </row>
    <row r="127" spans="1:8" ht="42" customHeight="1">
      <c r="A127" s="17" t="s">
        <v>175</v>
      </c>
      <c r="B127" s="17"/>
      <c r="C127" s="17"/>
      <c r="D127" s="17"/>
      <c r="E127" s="17"/>
      <c r="F127" s="17"/>
      <c r="G127" s="17"/>
      <c r="H127" s="17"/>
    </row>
    <row r="129" spans="1:8" ht="28.95" customHeight="1">
      <c r="A129" s="20" t="s">
        <v>176</v>
      </c>
      <c r="B129" s="20"/>
      <c r="C129" s="20"/>
      <c r="D129" s="20"/>
      <c r="E129" s="20"/>
      <c r="F129" s="20"/>
      <c r="G129" s="20"/>
      <c r="H129" s="20"/>
    </row>
    <row r="130" spans="1:8" ht="36" customHeight="1">
      <c r="A130" s="17" t="s">
        <v>177</v>
      </c>
      <c r="B130" s="17"/>
      <c r="C130" s="17"/>
      <c r="D130" s="17"/>
      <c r="E130" s="17"/>
      <c r="F130" s="17"/>
      <c r="G130" s="17"/>
      <c r="H130" s="17"/>
    </row>
    <row r="131" spans="1:8" ht="40.049999999999997" customHeight="1">
      <c r="A131" s="17" t="s">
        <v>178</v>
      </c>
      <c r="B131" s="17"/>
      <c r="C131" s="17"/>
      <c r="D131" s="17"/>
      <c r="E131" s="17"/>
      <c r="F131" s="17"/>
      <c r="G131" s="17"/>
      <c r="H131" s="17"/>
    </row>
    <row r="132" spans="1:8" ht="36" customHeight="1">
      <c r="A132" s="17" t="s">
        <v>179</v>
      </c>
      <c r="B132" s="17"/>
      <c r="C132" s="17"/>
      <c r="D132" s="17"/>
      <c r="E132" s="17"/>
      <c r="F132" s="17"/>
      <c r="G132" s="17"/>
      <c r="H132" s="17"/>
    </row>
    <row r="133" spans="1:8" ht="36" customHeight="1">
      <c r="A133" s="17" t="s">
        <v>180</v>
      </c>
      <c r="B133" s="17"/>
      <c r="C133" s="17"/>
      <c r="D133" s="17"/>
      <c r="E133" s="17"/>
      <c r="F133" s="17"/>
      <c r="G133" s="17"/>
      <c r="H133" s="17"/>
    </row>
    <row r="134" spans="1:8" ht="36" customHeight="1">
      <c r="A134" s="17" t="s">
        <v>181</v>
      </c>
      <c r="B134" s="17"/>
      <c r="C134" s="17"/>
      <c r="D134" s="17"/>
      <c r="E134" s="17"/>
      <c r="F134" s="17"/>
      <c r="G134" s="17"/>
      <c r="H134" s="17"/>
    </row>
    <row r="135" spans="1:8" ht="36" customHeight="1">
      <c r="A135" s="17" t="s">
        <v>182</v>
      </c>
      <c r="B135" s="17"/>
      <c r="C135" s="17"/>
      <c r="D135" s="17"/>
      <c r="E135" s="17"/>
      <c r="F135" s="17"/>
      <c r="G135" s="17"/>
      <c r="H135" s="17"/>
    </row>
    <row r="136" spans="1:8" ht="36" customHeight="1">
      <c r="A136" s="17" t="s">
        <v>183</v>
      </c>
      <c r="B136" s="17"/>
      <c r="C136" s="17"/>
      <c r="D136" s="17"/>
      <c r="E136" s="17"/>
      <c r="F136" s="17"/>
      <c r="G136" s="17"/>
      <c r="H136" s="17"/>
    </row>
    <row r="137" spans="1:8" ht="30" customHeight="1">
      <c r="A137" s="18" t="s">
        <v>123</v>
      </c>
      <c r="B137" s="18"/>
      <c r="C137" s="19">
        <f>'Resultados '!C12</f>
        <v>1130.3300000000002</v>
      </c>
      <c r="D137" s="19"/>
      <c r="E137" s="16"/>
      <c r="F137" s="16"/>
      <c r="G137" s="16"/>
      <c r="H137" s="16"/>
    </row>
    <row r="138" spans="1:8" ht="42" customHeight="1">
      <c r="A138" s="17" t="s">
        <v>184</v>
      </c>
      <c r="B138" s="17"/>
      <c r="C138" s="17"/>
      <c r="D138" s="17"/>
      <c r="E138" s="17"/>
      <c r="F138" s="17"/>
      <c r="G138" s="17"/>
      <c r="H138" s="17"/>
    </row>
    <row r="140" spans="1:8" ht="28.95" customHeight="1">
      <c r="A140" s="20" t="s">
        <v>185</v>
      </c>
      <c r="B140" s="20"/>
      <c r="C140" s="20"/>
      <c r="D140" s="20"/>
      <c r="E140" s="20"/>
      <c r="F140" s="20"/>
      <c r="G140" s="20"/>
      <c r="H140" s="20"/>
    </row>
    <row r="141" spans="1:8" ht="36" customHeight="1">
      <c r="A141" s="17" t="s">
        <v>186</v>
      </c>
      <c r="B141" s="17"/>
      <c r="C141" s="17"/>
      <c r="D141" s="17"/>
      <c r="E141" s="17"/>
      <c r="F141" s="17"/>
      <c r="G141" s="17"/>
      <c r="H141" s="17"/>
    </row>
    <row r="142" spans="1:8" ht="40.049999999999997" customHeight="1">
      <c r="A142" s="17" t="s">
        <v>187</v>
      </c>
      <c r="B142" s="17"/>
      <c r="C142" s="17"/>
      <c r="D142" s="17"/>
      <c r="E142" s="17"/>
      <c r="F142" s="17"/>
      <c r="G142" s="17"/>
      <c r="H142" s="17"/>
    </row>
    <row r="143" spans="1:8" ht="36" customHeight="1">
      <c r="A143" s="17" t="s">
        <v>188</v>
      </c>
      <c r="B143" s="17"/>
      <c r="C143" s="17"/>
      <c r="D143" s="17"/>
      <c r="E143" s="17"/>
      <c r="F143" s="17"/>
      <c r="G143" s="17"/>
      <c r="H143" s="17"/>
    </row>
    <row r="144" spans="1:8" ht="36" customHeight="1">
      <c r="A144" s="17" t="s">
        <v>189</v>
      </c>
      <c r="B144" s="17"/>
      <c r="C144" s="17"/>
      <c r="D144" s="17"/>
      <c r="E144" s="17"/>
      <c r="F144" s="17"/>
      <c r="G144" s="17"/>
      <c r="H144" s="17"/>
    </row>
    <row r="145" spans="1:8" ht="36" customHeight="1">
      <c r="A145" s="17" t="s">
        <v>190</v>
      </c>
      <c r="B145" s="17"/>
      <c r="C145" s="17"/>
      <c r="D145" s="17"/>
      <c r="E145" s="17"/>
      <c r="F145" s="17"/>
      <c r="G145" s="17"/>
      <c r="H145" s="17"/>
    </row>
    <row r="146" spans="1:8" ht="36" customHeight="1">
      <c r="A146" s="17" t="s">
        <v>191</v>
      </c>
      <c r="B146" s="17"/>
      <c r="C146" s="17"/>
      <c r="D146" s="17"/>
      <c r="E146" s="17"/>
      <c r="F146" s="17"/>
      <c r="G146" s="17"/>
      <c r="H146" s="17"/>
    </row>
    <row r="147" spans="1:8" ht="36" customHeight="1">
      <c r="A147" s="17" t="s">
        <v>192</v>
      </c>
      <c r="B147" s="17"/>
      <c r="C147" s="17"/>
      <c r="D147" s="17"/>
      <c r="E147" s="17"/>
      <c r="F147" s="17"/>
      <c r="G147" s="17"/>
      <c r="H147" s="17"/>
    </row>
    <row r="148" spans="1:8" ht="36" customHeight="1">
      <c r="A148" s="17" t="s">
        <v>193</v>
      </c>
      <c r="B148" s="17"/>
      <c r="C148" s="17"/>
      <c r="D148" s="17"/>
      <c r="E148" s="17"/>
      <c r="F148" s="17"/>
      <c r="G148" s="17"/>
      <c r="H148" s="17"/>
    </row>
    <row r="149" spans="1:8" ht="30" customHeight="1">
      <c r="A149" s="18" t="s">
        <v>123</v>
      </c>
      <c r="B149" s="18"/>
      <c r="C149" s="19">
        <f>'Resultados '!C13</f>
        <v>9331.84</v>
      </c>
      <c r="D149" s="19"/>
      <c r="E149" s="16"/>
      <c r="F149" s="16"/>
      <c r="G149" s="16"/>
      <c r="H149" s="16"/>
    </row>
    <row r="150" spans="1:8" ht="42" customHeight="1">
      <c r="A150" s="29" t="s">
        <v>202</v>
      </c>
      <c r="B150" s="17"/>
      <c r="C150" s="17"/>
      <c r="D150" s="17"/>
      <c r="E150" s="17"/>
      <c r="F150" s="17"/>
      <c r="G150" s="17"/>
      <c r="H150" s="17"/>
    </row>
  </sheetData>
  <mergeCells count="113">
    <mergeCell ref="A54:H54"/>
    <mergeCell ref="A55:H55"/>
    <mergeCell ref="A56:H56"/>
    <mergeCell ref="A57:H57"/>
    <mergeCell ref="A58:H58"/>
    <mergeCell ref="A1:H1"/>
    <mergeCell ref="F4:H6"/>
    <mergeCell ref="A28:H28"/>
    <mergeCell ref="A34:H34"/>
    <mergeCell ref="A36:H36"/>
    <mergeCell ref="B37:H37"/>
    <mergeCell ref="B38:H39"/>
    <mergeCell ref="B40:H40"/>
    <mergeCell ref="B41:H42"/>
    <mergeCell ref="B43:H43"/>
    <mergeCell ref="B44:H45"/>
    <mergeCell ref="B46:H46"/>
    <mergeCell ref="B47:H48"/>
    <mergeCell ref="B49:H49"/>
    <mergeCell ref="B50:H51"/>
    <mergeCell ref="A64:H64"/>
    <mergeCell ref="A65:H65"/>
    <mergeCell ref="A66:H66"/>
    <mergeCell ref="A67:H67"/>
    <mergeCell ref="A68:H68"/>
    <mergeCell ref="A59:H59"/>
    <mergeCell ref="A60:H60"/>
    <mergeCell ref="A61:B61"/>
    <mergeCell ref="C61:D61"/>
    <mergeCell ref="A62:H62"/>
    <mergeCell ref="A74:H74"/>
    <mergeCell ref="A75:H75"/>
    <mergeCell ref="A76:H76"/>
    <mergeCell ref="A77:H77"/>
    <mergeCell ref="A78:H78"/>
    <mergeCell ref="A69:H69"/>
    <mergeCell ref="A70:B70"/>
    <mergeCell ref="C70:D70"/>
    <mergeCell ref="A71:H71"/>
    <mergeCell ref="A73:H73"/>
    <mergeCell ref="A84:H84"/>
    <mergeCell ref="A85:H85"/>
    <mergeCell ref="A86:H86"/>
    <mergeCell ref="A87:H87"/>
    <mergeCell ref="A88:B88"/>
    <mergeCell ref="C88:D88"/>
    <mergeCell ref="A79:H79"/>
    <mergeCell ref="A80:B80"/>
    <mergeCell ref="C80:D80"/>
    <mergeCell ref="A81:H81"/>
    <mergeCell ref="A83:H83"/>
    <mergeCell ref="A95:H95"/>
    <mergeCell ref="A96:B96"/>
    <mergeCell ref="C96:D96"/>
    <mergeCell ref="A97:H97"/>
    <mergeCell ref="A99:H99"/>
    <mergeCell ref="A89:H89"/>
    <mergeCell ref="A91:H91"/>
    <mergeCell ref="A92:H92"/>
    <mergeCell ref="A93:H93"/>
    <mergeCell ref="A94:H94"/>
    <mergeCell ref="A105:B105"/>
    <mergeCell ref="C105:D105"/>
    <mergeCell ref="A106:H106"/>
    <mergeCell ref="A108:H108"/>
    <mergeCell ref="A109:H109"/>
    <mergeCell ref="A100:H100"/>
    <mergeCell ref="A101:H101"/>
    <mergeCell ref="A102:H102"/>
    <mergeCell ref="A103:H103"/>
    <mergeCell ref="A104:H104"/>
    <mergeCell ref="A115:H115"/>
    <mergeCell ref="A116:B116"/>
    <mergeCell ref="C116:D116"/>
    <mergeCell ref="A117:H117"/>
    <mergeCell ref="A119:H119"/>
    <mergeCell ref="A110:H110"/>
    <mergeCell ref="A111:H111"/>
    <mergeCell ref="A112:H112"/>
    <mergeCell ref="A113:H113"/>
    <mergeCell ref="A114:H114"/>
    <mergeCell ref="A125:H125"/>
    <mergeCell ref="A126:B126"/>
    <mergeCell ref="C126:D126"/>
    <mergeCell ref="A127:H127"/>
    <mergeCell ref="A129:H129"/>
    <mergeCell ref="A120:H120"/>
    <mergeCell ref="A121:H121"/>
    <mergeCell ref="A122:H122"/>
    <mergeCell ref="A123:H123"/>
    <mergeCell ref="A124:H124"/>
    <mergeCell ref="A135:H135"/>
    <mergeCell ref="A136:H136"/>
    <mergeCell ref="A137:B137"/>
    <mergeCell ref="C137:D137"/>
    <mergeCell ref="A138:H138"/>
    <mergeCell ref="A130:H130"/>
    <mergeCell ref="A131:H131"/>
    <mergeCell ref="A132:H132"/>
    <mergeCell ref="A133:H133"/>
    <mergeCell ref="A134:H134"/>
    <mergeCell ref="A150:H150"/>
    <mergeCell ref="A145:H145"/>
    <mergeCell ref="A146:H146"/>
    <mergeCell ref="A147:H147"/>
    <mergeCell ref="A148:H148"/>
    <mergeCell ref="A149:B149"/>
    <mergeCell ref="C149:D149"/>
    <mergeCell ref="A140:H140"/>
    <mergeCell ref="A141:H141"/>
    <mergeCell ref="A142:H142"/>
    <mergeCell ref="A143:H143"/>
    <mergeCell ref="A144:H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</vt:lpstr>
      <vt:lpstr>Calculos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Javier Guerrero Rizo</cp:lastModifiedBy>
  <dcterms:modified xsi:type="dcterms:W3CDTF">2026-10-19T23:20:43Z</dcterms:modified>
</cp:coreProperties>
</file>